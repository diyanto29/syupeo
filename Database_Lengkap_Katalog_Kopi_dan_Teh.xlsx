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talog_Lengkap_Kopi_Te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p&quot;#,##0"/>
    <numFmt numFmtId="165" formatCode="0.0%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555555"/>
      <sz val="9.5"/>
    </font>
    <font>
      <name val="Segoe UI"/>
      <b val="1"/>
      <color rgb="00FFFFFF"/>
      <sz val="10"/>
    </font>
    <font>
      <name val="Segoe UI"/>
      <sz val="9.5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284B63"/>
        <bgColor rgb="00284B63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EAEFF5"/>
        <bgColor rgb="00EAEFF5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medium">
        <color rgb="00284B63"/>
      </top>
      <bottom style="double">
        <color rgb="00284B6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0" fontId="5" fillId="6" borderId="2" applyAlignment="1" pivotButton="0" quotePrefix="0" xfId="0">
      <alignment horizontal="right" vertical="center"/>
    </xf>
    <xf numFmtId="0" fontId="0" fillId="6" borderId="2" pivotButton="0" quotePrefix="0" xfId="0"/>
    <xf numFmtId="164" fontId="5" fillId="6" borderId="2" pivotButton="0" quotePrefix="0" xfId="0"/>
    <xf numFmtId="165" fontId="5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8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8" customWidth="1" min="2" max="2"/>
    <col width="25" customWidth="1" min="3" max="3"/>
    <col width="42" customWidth="1" min="4" max="4"/>
    <col width="50" customWidth="1" min="5" max="5"/>
    <col width="24" customWidth="1" min="6" max="6"/>
    <col width="21" customWidth="1" min="7" max="7"/>
    <col width="19" customWidth="1" min="8" max="8"/>
    <col width="16" customWidth="1" min="9" max="9"/>
    <col width="16" customWidth="1" min="10" max="10"/>
  </cols>
  <sheetData>
    <row r="1" ht="40" customHeight="1">
      <c r="A1" s="1" t="inlineStr">
        <is>
          <t>DATABASE LENGKAP MASTER PRODUK: SEMUA JENIS KOPI &amp; TEH</t>
        </is>
      </c>
    </row>
    <row r="2" ht="22" customHeight="1">
      <c r="A2" s="2" t="inlineStr">
        <is>
          <t>Mencakup Kopi (Espresso, Milk Based, Kekinian, Tradisional/Nusantara, Manual Brew, Mocktail) &amp; Teh (Tradisional, Artisan Single Origin, Milk Tea, Fruit Tea, Tisane Herbal, Cheese Tea, Topping)</t>
        </is>
      </c>
    </row>
    <row r="3"/>
    <row r="4" ht="28" customHeight="1">
      <c r="A4" s="3" t="inlineStr">
        <is>
          <t>Product ID</t>
        </is>
      </c>
      <c r="B4" s="3" t="inlineStr">
        <is>
          <t>Kategori Utama</t>
        </is>
      </c>
      <c r="C4" s="3" t="inlineStr">
        <is>
          <t>Sub-Kategori</t>
        </is>
      </c>
      <c r="D4" s="3" t="inlineStr">
        <is>
          <t>Nama Produk</t>
        </is>
      </c>
      <c r="E4" s="3" t="inlineStr">
        <is>
          <t>Deskripsi / Komposisi</t>
        </is>
      </c>
      <c r="F4" s="3" t="inlineStr">
        <is>
          <t>Sajian / Ukuran</t>
        </is>
      </c>
      <c r="G4" s="3" t="inlineStr">
        <is>
          <t>Estimasi HPP (Rp)</t>
        </is>
      </c>
      <c r="H4" s="3" t="inlineStr">
        <is>
          <t>Harga Jual (Rp)</t>
        </is>
      </c>
      <c r="I4" s="3" t="inlineStr">
        <is>
          <t>Margin (Rp)</t>
        </is>
      </c>
      <c r="J4" s="3" t="inlineStr">
        <is>
          <t>Margin (%)</t>
        </is>
      </c>
    </row>
    <row r="5" ht="22" customHeight="1">
      <c r="A5" s="4" t="inlineStr">
        <is>
          <t>CF-ESP-01</t>
        </is>
      </c>
      <c r="B5" s="4" t="inlineStr">
        <is>
          <t>Coffee</t>
        </is>
      </c>
      <c r="C5" s="5" t="inlineStr">
        <is>
          <t>Espresso Classic</t>
        </is>
      </c>
      <c r="D5" s="5" t="inlineStr">
        <is>
          <t>Single Espresso</t>
        </is>
      </c>
      <c r="E5" s="5" t="inlineStr">
        <is>
          <t>Ekstraksi kopi murni 30ml single shot</t>
        </is>
      </c>
      <c r="F5" s="4" t="inlineStr">
        <is>
          <t>Single Cup 30ml</t>
        </is>
      </c>
      <c r="G5" s="6" t="n">
        <v>2500</v>
      </c>
      <c r="H5" s="6" t="n">
        <v>10000</v>
      </c>
      <c r="I5" s="6">
        <f>H5-G5</f>
        <v/>
      </c>
      <c r="J5" s="7">
        <f>I5/H5</f>
        <v/>
      </c>
    </row>
    <row r="6" ht="22" customHeight="1">
      <c r="A6" s="8" t="inlineStr">
        <is>
          <t>CF-ESP-02</t>
        </is>
      </c>
      <c r="B6" s="8" t="inlineStr">
        <is>
          <t>Coffee</t>
        </is>
      </c>
      <c r="C6" s="9" t="inlineStr">
        <is>
          <t>Espresso Classic</t>
        </is>
      </c>
      <c r="D6" s="9" t="inlineStr">
        <is>
          <t>Double Espresso (Doppio)</t>
        </is>
      </c>
      <c r="E6" s="9" t="inlineStr">
        <is>
          <t>Ekstraksi kopi murni 60ml double shot</t>
        </is>
      </c>
      <c r="F6" s="8" t="inlineStr">
        <is>
          <t>Double Cup 60ml</t>
        </is>
      </c>
      <c r="G6" s="10" t="n">
        <v>4500</v>
      </c>
      <c r="H6" s="10" t="n">
        <v>15000</v>
      </c>
      <c r="I6" s="10">
        <f>H6-G6</f>
        <v/>
      </c>
      <c r="J6" s="11">
        <f>I6/H6</f>
        <v/>
      </c>
    </row>
    <row r="7" ht="22" customHeight="1">
      <c r="A7" s="4" t="inlineStr">
        <is>
          <t>CF-ESP-03</t>
        </is>
      </c>
      <c r="B7" s="4" t="inlineStr">
        <is>
          <t>Coffee</t>
        </is>
      </c>
      <c r="C7" s="5" t="inlineStr">
        <is>
          <t>Espresso Classic</t>
        </is>
      </c>
      <c r="D7" s="5" t="inlineStr">
        <is>
          <t>Ristretto</t>
        </is>
      </c>
      <c r="E7" s="5" t="inlineStr">
        <is>
          <t>Ekstraksi espresso pendek pekat 20ml</t>
        </is>
      </c>
      <c r="F7" s="4" t="inlineStr">
        <is>
          <t>Single Cup 20ml</t>
        </is>
      </c>
      <c r="G7" s="6" t="n">
        <v>2500</v>
      </c>
      <c r="H7" s="6" t="n">
        <v>12000</v>
      </c>
      <c r="I7" s="6">
        <f>H7-G7</f>
        <v/>
      </c>
      <c r="J7" s="7">
        <f>I7/H7</f>
        <v/>
      </c>
    </row>
    <row r="8" ht="22" customHeight="1">
      <c r="A8" s="8" t="inlineStr">
        <is>
          <t>CF-ESP-04</t>
        </is>
      </c>
      <c r="B8" s="8" t="inlineStr">
        <is>
          <t>Coffee</t>
        </is>
      </c>
      <c r="C8" s="9" t="inlineStr">
        <is>
          <t>Espresso Classic</t>
        </is>
      </c>
      <c r="D8" s="9" t="inlineStr">
        <is>
          <t>Lungo</t>
        </is>
      </c>
      <c r="E8" s="9" t="inlineStr">
        <is>
          <t>Ekstraksi espresso panjang encer 90ml</t>
        </is>
      </c>
      <c r="F8" s="8" t="inlineStr">
        <is>
          <t>Single Cup 90ml</t>
        </is>
      </c>
      <c r="G8" s="10" t="n">
        <v>2500</v>
      </c>
      <c r="H8" s="10" t="n">
        <v>12000</v>
      </c>
      <c r="I8" s="10">
        <f>H8-G8</f>
        <v/>
      </c>
      <c r="J8" s="11">
        <f>I8/H8</f>
        <v/>
      </c>
    </row>
    <row r="9" ht="22" customHeight="1">
      <c r="A9" s="4" t="inlineStr">
        <is>
          <t>CF-ESP-05</t>
        </is>
      </c>
      <c r="B9" s="4" t="inlineStr">
        <is>
          <t>Coffee</t>
        </is>
      </c>
      <c r="C9" s="5" t="inlineStr">
        <is>
          <t>Espresso Classic</t>
        </is>
      </c>
      <c r="D9" s="5" t="inlineStr">
        <is>
          <t>Americano (Hot)</t>
        </is>
      </c>
      <c r="E9" s="5" t="inlineStr">
        <is>
          <t>Espresso double shot dicampur air panas</t>
        </is>
      </c>
      <c r="F9" s="4" t="inlineStr">
        <is>
          <t>Hot Cup 8oz</t>
        </is>
      </c>
      <c r="G9" s="6" t="n">
        <v>3500</v>
      </c>
      <c r="H9" s="6" t="n">
        <v>15000</v>
      </c>
      <c r="I9" s="6">
        <f>H9-G9</f>
        <v/>
      </c>
      <c r="J9" s="7">
        <f>I9/H9</f>
        <v/>
      </c>
    </row>
    <row r="10" ht="22" customHeight="1">
      <c r="A10" s="8" t="inlineStr">
        <is>
          <t>CF-ESP-06</t>
        </is>
      </c>
      <c r="B10" s="8" t="inlineStr">
        <is>
          <t>Coffee</t>
        </is>
      </c>
      <c r="C10" s="9" t="inlineStr">
        <is>
          <t>Espresso Classic</t>
        </is>
      </c>
      <c r="D10" s="9" t="inlineStr">
        <is>
          <t>Iced Americano</t>
        </is>
      </c>
      <c r="E10" s="9" t="inlineStr">
        <is>
          <t>Espresso double shot + air mineral + es batu</t>
        </is>
      </c>
      <c r="F10" s="8" t="inlineStr">
        <is>
          <t>Cup 16oz</t>
        </is>
      </c>
      <c r="G10" s="10" t="n">
        <v>3800</v>
      </c>
      <c r="H10" s="10" t="n">
        <v>16000</v>
      </c>
      <c r="I10" s="10">
        <f>H10-G10</f>
        <v/>
      </c>
      <c r="J10" s="11">
        <f>I10/H10</f>
        <v/>
      </c>
    </row>
    <row r="11" ht="22" customHeight="1">
      <c r="A11" s="4" t="inlineStr">
        <is>
          <t>CF-ESP-07</t>
        </is>
      </c>
      <c r="B11" s="4" t="inlineStr">
        <is>
          <t>Coffee</t>
        </is>
      </c>
      <c r="C11" s="5" t="inlineStr">
        <is>
          <t>Espresso Classic</t>
        </is>
      </c>
      <c r="D11" s="5" t="inlineStr">
        <is>
          <t>Long Black</t>
        </is>
      </c>
      <c r="E11" s="5" t="inlineStr">
        <is>
          <t>Air panas dituangi double espresso (crema utuh)</t>
        </is>
      </c>
      <c r="F11" s="4" t="inlineStr">
        <is>
          <t>Hot Cup 8oz</t>
        </is>
      </c>
      <c r="G11" s="6" t="n">
        <v>3500</v>
      </c>
      <c r="H11" s="6" t="n">
        <v>16000</v>
      </c>
      <c r="I11" s="6">
        <f>H11-G11</f>
        <v/>
      </c>
      <c r="J11" s="7">
        <f>I11/H11</f>
        <v/>
      </c>
    </row>
    <row r="12" ht="22" customHeight="1">
      <c r="A12" s="8" t="inlineStr">
        <is>
          <t>CF-ESP-08</t>
        </is>
      </c>
      <c r="B12" s="8" t="inlineStr">
        <is>
          <t>Coffee</t>
        </is>
      </c>
      <c r="C12" s="9" t="inlineStr">
        <is>
          <t>Espresso Classic</t>
        </is>
      </c>
      <c r="D12" s="9" t="inlineStr">
        <is>
          <t>Espresso Romano</t>
        </is>
      </c>
      <c r="E12" s="9" t="inlineStr">
        <is>
          <t>Espresso dengan twist irisan lemon segar</t>
        </is>
      </c>
      <c r="F12" s="8" t="inlineStr">
        <is>
          <t>Hot Cup 40ml</t>
        </is>
      </c>
      <c r="G12" s="10" t="n">
        <v>3500</v>
      </c>
      <c r="H12" s="10" t="n">
        <v>16000</v>
      </c>
      <c r="I12" s="10">
        <f>H12-G12</f>
        <v/>
      </c>
      <c r="J12" s="11">
        <f>I12/H12</f>
        <v/>
      </c>
    </row>
    <row r="13" ht="22" customHeight="1">
      <c r="A13" s="4" t="inlineStr">
        <is>
          <t>CF-ESP-09</t>
        </is>
      </c>
      <c r="B13" s="4" t="inlineStr">
        <is>
          <t>Coffee</t>
        </is>
      </c>
      <c r="C13" s="5" t="inlineStr">
        <is>
          <t>Espresso Classic</t>
        </is>
      </c>
      <c r="D13" s="5" t="inlineStr">
        <is>
          <t>Espresso Con Panna</t>
        </is>
      </c>
      <c r="E13" s="5" t="inlineStr">
        <is>
          <t>Espresso shot dengan topping whipped cream</t>
        </is>
      </c>
      <c r="F13" s="4" t="inlineStr">
        <is>
          <t>Hot Cup 60ml</t>
        </is>
      </c>
      <c r="G13" s="6" t="n">
        <v>5000</v>
      </c>
      <c r="H13" s="6" t="n">
        <v>18000</v>
      </c>
      <c r="I13" s="6">
        <f>H13-G13</f>
        <v/>
      </c>
      <c r="J13" s="7">
        <f>I13/H13</f>
        <v/>
      </c>
    </row>
    <row r="14" ht="22" customHeight="1">
      <c r="A14" s="8" t="inlineStr">
        <is>
          <t>CF-MLK-01</t>
        </is>
      </c>
      <c r="B14" s="8" t="inlineStr">
        <is>
          <t>Coffee</t>
        </is>
      </c>
      <c r="C14" s="9" t="inlineStr">
        <is>
          <t>Milk Based</t>
        </is>
      </c>
      <c r="D14" s="9" t="inlineStr">
        <is>
          <t>Piccolo Latte</t>
        </is>
      </c>
      <c r="E14" s="9" t="inlineStr">
        <is>
          <t>Ristretto dengan steamed milk lembut porsi kecil</t>
        </is>
      </c>
      <c r="F14" s="8" t="inlineStr">
        <is>
          <t>Glass 4oz / 100ml</t>
        </is>
      </c>
      <c r="G14" s="10" t="n">
        <v>5000</v>
      </c>
      <c r="H14" s="10" t="n">
        <v>18000</v>
      </c>
      <c r="I14" s="10">
        <f>H14-G14</f>
        <v/>
      </c>
      <c r="J14" s="11">
        <f>I14/H14</f>
        <v/>
      </c>
    </row>
    <row r="15" ht="22" customHeight="1">
      <c r="A15" s="4" t="inlineStr">
        <is>
          <t>CF-MLK-02</t>
        </is>
      </c>
      <c r="B15" s="4" t="inlineStr">
        <is>
          <t>Coffee</t>
        </is>
      </c>
      <c r="C15" s="5" t="inlineStr">
        <is>
          <t>Milk Based</t>
        </is>
      </c>
      <c r="D15" s="5" t="inlineStr">
        <is>
          <t>Cortado</t>
        </is>
      </c>
      <c r="E15" s="5" t="inlineStr">
        <is>
          <t>Espresso dan steamed milk perbandingan 1:1 seimbang</t>
        </is>
      </c>
      <c r="F15" s="4" t="inlineStr">
        <is>
          <t>Glass 4.5oz</t>
        </is>
      </c>
      <c r="G15" s="6" t="n">
        <v>5000</v>
      </c>
      <c r="H15" s="6" t="n">
        <v>18000</v>
      </c>
      <c r="I15" s="6">
        <f>H15-G15</f>
        <v/>
      </c>
      <c r="J15" s="7">
        <f>I15/H15</f>
        <v/>
      </c>
    </row>
    <row r="16" ht="22" customHeight="1">
      <c r="A16" s="8" t="inlineStr">
        <is>
          <t>CF-MLK-03</t>
        </is>
      </c>
      <c r="B16" s="8" t="inlineStr">
        <is>
          <t>Coffee</t>
        </is>
      </c>
      <c r="C16" s="9" t="inlineStr">
        <is>
          <t>Milk Based</t>
        </is>
      </c>
      <c r="D16" s="9" t="inlineStr">
        <is>
          <t>Flat White</t>
        </is>
      </c>
      <c r="E16" s="9" t="inlineStr">
        <is>
          <t>Double espresso dengan microfoam susu tipis</t>
        </is>
      </c>
      <c r="F16" s="8" t="inlineStr">
        <is>
          <t>Hot Cup 6oz</t>
        </is>
      </c>
      <c r="G16" s="10" t="n">
        <v>6500</v>
      </c>
      <c r="H16" s="10" t="n">
        <v>22000</v>
      </c>
      <c r="I16" s="10">
        <f>H16-G16</f>
        <v/>
      </c>
      <c r="J16" s="11">
        <f>I16/H16</f>
        <v/>
      </c>
    </row>
    <row r="17" ht="22" customHeight="1">
      <c r="A17" s="4" t="inlineStr">
        <is>
          <t>CF-MLK-04</t>
        </is>
      </c>
      <c r="B17" s="4" t="inlineStr">
        <is>
          <t>Coffee</t>
        </is>
      </c>
      <c r="C17" s="5" t="inlineStr">
        <is>
          <t>Milk Based</t>
        </is>
      </c>
      <c r="D17" s="5" t="inlineStr">
        <is>
          <t>Hot Cappuccino</t>
        </is>
      </c>
      <c r="E17" s="5" t="inlineStr">
        <is>
          <t>Espresso, susu, dan busa susu tebal ditabur kakao</t>
        </is>
      </c>
      <c r="F17" s="4" t="inlineStr">
        <is>
          <t>Hot Cup 8oz</t>
        </is>
      </c>
      <c r="G17" s="6" t="n">
        <v>6500</v>
      </c>
      <c r="H17" s="6" t="n">
        <v>22000</v>
      </c>
      <c r="I17" s="6">
        <f>H17-G17</f>
        <v/>
      </c>
      <c r="J17" s="7">
        <f>I17/H17</f>
        <v/>
      </c>
    </row>
    <row r="18" ht="22" customHeight="1">
      <c r="A18" s="8" t="inlineStr">
        <is>
          <t>CF-MLK-05</t>
        </is>
      </c>
      <c r="B18" s="8" t="inlineStr">
        <is>
          <t>Coffee</t>
        </is>
      </c>
      <c r="C18" s="9" t="inlineStr">
        <is>
          <t>Milk Based</t>
        </is>
      </c>
      <c r="D18" s="9" t="inlineStr">
        <is>
          <t>Iced Cappuccino</t>
        </is>
      </c>
      <c r="E18" s="9" t="inlineStr">
        <is>
          <t>Espresso kocok susu segar dengan foam dingin</t>
        </is>
      </c>
      <c r="F18" s="8" t="inlineStr">
        <is>
          <t>Cup 16oz</t>
        </is>
      </c>
      <c r="G18" s="10" t="n">
        <v>7000</v>
      </c>
      <c r="H18" s="10" t="n">
        <v>24000</v>
      </c>
      <c r="I18" s="10">
        <f>H18-G18</f>
        <v/>
      </c>
      <c r="J18" s="11">
        <f>I18/H18</f>
        <v/>
      </c>
    </row>
    <row r="19" ht="22" customHeight="1">
      <c r="A19" s="4" t="inlineStr">
        <is>
          <t>CF-MLK-06</t>
        </is>
      </c>
      <c r="B19" s="4" t="inlineStr">
        <is>
          <t>Coffee</t>
        </is>
      </c>
      <c r="C19" s="5" t="inlineStr">
        <is>
          <t>Milk Based</t>
        </is>
      </c>
      <c r="D19" s="5" t="inlineStr">
        <is>
          <t>Hot Cafe Latte</t>
        </is>
      </c>
      <c r="E19" s="5" t="inlineStr">
        <is>
          <t>Espresso dengan steamed milk lembut dan latte art</t>
        </is>
      </c>
      <c r="F19" s="4" t="inlineStr">
        <is>
          <t>Hot Cup 8oz</t>
        </is>
      </c>
      <c r="G19" s="6" t="n">
        <v>6500</v>
      </c>
      <c r="H19" s="6" t="n">
        <v>22000</v>
      </c>
      <c r="I19" s="6">
        <f>H19-G19</f>
        <v/>
      </c>
      <c r="J19" s="7">
        <f>I19/H19</f>
        <v/>
      </c>
    </row>
    <row r="20" ht="22" customHeight="1">
      <c r="A20" s="8" t="inlineStr">
        <is>
          <t>CF-MLK-07</t>
        </is>
      </c>
      <c r="B20" s="8" t="inlineStr">
        <is>
          <t>Coffee</t>
        </is>
      </c>
      <c r="C20" s="9" t="inlineStr">
        <is>
          <t>Milk Based</t>
        </is>
      </c>
      <c r="D20" s="9" t="inlineStr">
        <is>
          <t>Iced Cafe Latte</t>
        </is>
      </c>
      <c r="E20" s="9" t="inlineStr">
        <is>
          <t>Espresso dicampur susu segar dingin dan es</t>
        </is>
      </c>
      <c r="F20" s="8" t="inlineStr">
        <is>
          <t>Cup 16oz</t>
        </is>
      </c>
      <c r="G20" s="10" t="n">
        <v>7000</v>
      </c>
      <c r="H20" s="10" t="n">
        <v>24000</v>
      </c>
      <c r="I20" s="10">
        <f>H20-G20</f>
        <v/>
      </c>
      <c r="J20" s="11">
        <f>I20/H20</f>
        <v/>
      </c>
    </row>
    <row r="21" ht="22" customHeight="1">
      <c r="A21" s="4" t="inlineStr">
        <is>
          <t>CF-MLK-08</t>
        </is>
      </c>
      <c r="B21" s="4" t="inlineStr">
        <is>
          <t>Coffee</t>
        </is>
      </c>
      <c r="C21" s="5" t="inlineStr">
        <is>
          <t>Milk Based</t>
        </is>
      </c>
      <c r="D21" s="5" t="inlineStr">
        <is>
          <t>Cafe Mocha (Hot)</t>
        </is>
      </c>
      <c r="E21" s="5" t="inlineStr">
        <is>
          <t>Espresso dicampur cokelat murni dan steamed milk</t>
        </is>
      </c>
      <c r="F21" s="4" t="inlineStr">
        <is>
          <t>Hot Cup 8oz</t>
        </is>
      </c>
      <c r="G21" s="6" t="n">
        <v>8000</v>
      </c>
      <c r="H21" s="6" t="n">
        <v>25000</v>
      </c>
      <c r="I21" s="6">
        <f>H21-G21</f>
        <v/>
      </c>
      <c r="J21" s="7">
        <f>I21/H21</f>
        <v/>
      </c>
    </row>
    <row r="22" ht="22" customHeight="1">
      <c r="A22" s="8" t="inlineStr">
        <is>
          <t>CF-MLK-09</t>
        </is>
      </c>
      <c r="B22" s="8" t="inlineStr">
        <is>
          <t>Coffee</t>
        </is>
      </c>
      <c r="C22" s="9" t="inlineStr">
        <is>
          <t>Milk Based</t>
        </is>
      </c>
      <c r="D22" s="9" t="inlineStr">
        <is>
          <t>Iced Cafe Mocha</t>
        </is>
      </c>
      <c r="E22" s="9" t="inlineStr">
        <is>
          <t>Espresso, cokelat pekat, susu segar, dan es</t>
        </is>
      </c>
      <c r="F22" s="8" t="inlineStr">
        <is>
          <t>Cup 16oz</t>
        </is>
      </c>
      <c r="G22" s="10" t="n">
        <v>8500</v>
      </c>
      <c r="H22" s="10" t="n">
        <v>26000</v>
      </c>
      <c r="I22" s="10">
        <f>H22-G22</f>
        <v/>
      </c>
      <c r="J22" s="11">
        <f>I22/H22</f>
        <v/>
      </c>
    </row>
    <row r="23" ht="22" customHeight="1">
      <c r="A23" s="4" t="inlineStr">
        <is>
          <t>CF-MLK-10</t>
        </is>
      </c>
      <c r="B23" s="4" t="inlineStr">
        <is>
          <t>Coffee</t>
        </is>
      </c>
      <c r="C23" s="5" t="inlineStr">
        <is>
          <t>Milk Based</t>
        </is>
      </c>
      <c r="D23" s="5" t="inlineStr">
        <is>
          <t>Cafe Breve</t>
        </is>
      </c>
      <c r="E23" s="5" t="inlineStr">
        <is>
          <t>Espresso dicampur campuran steamed half-and-half</t>
        </is>
      </c>
      <c r="F23" s="4" t="inlineStr">
        <is>
          <t>Hot Cup 8oz</t>
        </is>
      </c>
      <c r="G23" s="6" t="n">
        <v>8500</v>
      </c>
      <c r="H23" s="6" t="n">
        <v>26000</v>
      </c>
      <c r="I23" s="6">
        <f>H23-G23</f>
        <v/>
      </c>
      <c r="J23" s="7">
        <f>I23/H23</f>
        <v/>
      </c>
    </row>
    <row r="24" ht="22" customHeight="1">
      <c r="A24" s="8" t="inlineStr">
        <is>
          <t>CF-MLK-11</t>
        </is>
      </c>
      <c r="B24" s="8" t="inlineStr">
        <is>
          <t>Coffee</t>
        </is>
      </c>
      <c r="C24" s="9" t="inlineStr">
        <is>
          <t>Milk Based</t>
        </is>
      </c>
      <c r="D24" s="9" t="inlineStr">
        <is>
          <t>Affogato</t>
        </is>
      </c>
      <c r="E24" s="9" t="inlineStr">
        <is>
          <t>Es krim vanilla premium disiram 1 shot hot espresso</t>
        </is>
      </c>
      <c r="F24" s="8" t="inlineStr">
        <is>
          <t>Dessert Bowl</t>
        </is>
      </c>
      <c r="G24" s="10" t="n">
        <v>8000</v>
      </c>
      <c r="H24" s="10" t="n">
        <v>22000</v>
      </c>
      <c r="I24" s="10">
        <f>H24-G24</f>
        <v/>
      </c>
      <c r="J24" s="11">
        <f>I24/H24</f>
        <v/>
      </c>
    </row>
    <row r="25" ht="22" customHeight="1">
      <c r="A25" s="4" t="inlineStr">
        <is>
          <t>CF-FLV-01</t>
        </is>
      </c>
      <c r="B25" s="4" t="inlineStr">
        <is>
          <t>Coffee</t>
        </is>
      </c>
      <c r="C25" s="5" t="inlineStr">
        <is>
          <t>Kopi Susu Kekinian</t>
        </is>
      </c>
      <c r="D25" s="5" t="inlineStr">
        <is>
          <t>Kopi Susu Gula Aren</t>
        </is>
      </c>
      <c r="E25" s="5" t="inlineStr">
        <is>
          <t>Espresso, krimer susu gurih, dan sirup gula aren asli</t>
        </is>
      </c>
      <c r="F25" s="4" t="inlineStr">
        <is>
          <t>Cup 16oz</t>
        </is>
      </c>
      <c r="G25" s="6" t="n">
        <v>6500</v>
      </c>
      <c r="H25" s="6" t="n">
        <v>18000</v>
      </c>
      <c r="I25" s="6">
        <f>H25-G25</f>
        <v/>
      </c>
      <c r="J25" s="7">
        <f>I25/H25</f>
        <v/>
      </c>
    </row>
    <row r="26" ht="22" customHeight="1">
      <c r="A26" s="8" t="inlineStr">
        <is>
          <t>CF-FLV-02</t>
        </is>
      </c>
      <c r="B26" s="8" t="inlineStr">
        <is>
          <t>Coffee</t>
        </is>
      </c>
      <c r="C26" s="9" t="inlineStr">
        <is>
          <t>Kopi Susu Kekinian</t>
        </is>
      </c>
      <c r="D26" s="9" t="inlineStr">
        <is>
          <t>Kopi Susu Pandan</t>
        </is>
      </c>
      <c r="E26" s="9" t="inlineStr">
        <is>
          <t>Espresso, susu segar, dan ekstrak sari pandan wangi</t>
        </is>
      </c>
      <c r="F26" s="8" t="inlineStr">
        <is>
          <t>Cup 16oz</t>
        </is>
      </c>
      <c r="G26" s="10" t="n">
        <v>7000</v>
      </c>
      <c r="H26" s="10" t="n">
        <v>20000</v>
      </c>
      <c r="I26" s="10">
        <f>H26-G26</f>
        <v/>
      </c>
      <c r="J26" s="11">
        <f>I26/H26</f>
        <v/>
      </c>
    </row>
    <row r="27" ht="22" customHeight="1">
      <c r="A27" s="4" t="inlineStr">
        <is>
          <t>CF-FLV-03</t>
        </is>
      </c>
      <c r="B27" s="4" t="inlineStr">
        <is>
          <t>Coffee</t>
        </is>
      </c>
      <c r="C27" s="5" t="inlineStr">
        <is>
          <t>Kopi Susu Kekinian</t>
        </is>
      </c>
      <c r="D27" s="5" t="inlineStr">
        <is>
          <t>Kopi Susu Salted Caramel</t>
        </is>
      </c>
      <c r="E27" s="5" t="inlineStr">
        <is>
          <t>Espresso, susu, dan sirup saus karamel gurih</t>
        </is>
      </c>
      <c r="F27" s="4" t="inlineStr">
        <is>
          <t>Cup 16oz</t>
        </is>
      </c>
      <c r="G27" s="6" t="n">
        <v>8000</v>
      </c>
      <c r="H27" s="6" t="n">
        <v>24000</v>
      </c>
      <c r="I27" s="6">
        <f>H27-G27</f>
        <v/>
      </c>
      <c r="J27" s="7">
        <f>I27/H27</f>
        <v/>
      </c>
    </row>
    <row r="28" ht="22" customHeight="1">
      <c r="A28" s="8" t="inlineStr">
        <is>
          <t>CF-FLV-04</t>
        </is>
      </c>
      <c r="B28" s="8" t="inlineStr">
        <is>
          <t>Coffee</t>
        </is>
      </c>
      <c r="C28" s="9" t="inlineStr">
        <is>
          <t>Kopi Susu Kekinian</t>
        </is>
      </c>
      <c r="D28" s="9" t="inlineStr">
        <is>
          <t>Kopi Susu Butterscotch</t>
        </is>
      </c>
      <c r="E28" s="9" t="inlineStr">
        <is>
          <t>Espresso, susu, sirup butterscotch beraroma mentega</t>
        </is>
      </c>
      <c r="F28" s="8" t="inlineStr">
        <is>
          <t>Cup 16oz</t>
        </is>
      </c>
      <c r="G28" s="10" t="n">
        <v>8000</v>
      </c>
      <c r="H28" s="10" t="n">
        <v>24000</v>
      </c>
      <c r="I28" s="10">
        <f>H28-G28</f>
        <v/>
      </c>
      <c r="J28" s="11">
        <f>I28/H28</f>
        <v/>
      </c>
    </row>
    <row r="29" ht="22" customHeight="1">
      <c r="A29" s="4" t="inlineStr">
        <is>
          <t>CF-FLV-05</t>
        </is>
      </c>
      <c r="B29" s="4" t="inlineStr">
        <is>
          <t>Coffee</t>
        </is>
      </c>
      <c r="C29" s="5" t="inlineStr">
        <is>
          <t>Kopi Susu Kekinian</t>
        </is>
      </c>
      <c r="D29" s="5" t="inlineStr">
        <is>
          <t>Vanilla Latte</t>
        </is>
      </c>
      <c r="E29" s="5" t="inlineStr">
        <is>
          <t>Espresso, susu segar, dan perisa vanilla lembut</t>
        </is>
      </c>
      <c r="F29" s="4" t="inlineStr">
        <is>
          <t>Cup 16oz</t>
        </is>
      </c>
      <c r="G29" s="6" t="n">
        <v>7500</v>
      </c>
      <c r="H29" s="6" t="n">
        <v>23000</v>
      </c>
      <c r="I29" s="6">
        <f>H29-G29</f>
        <v/>
      </c>
      <c r="J29" s="7">
        <f>I29/H29</f>
        <v/>
      </c>
    </row>
    <row r="30" ht="22" customHeight="1">
      <c r="A30" s="8" t="inlineStr">
        <is>
          <t>CF-FLV-06</t>
        </is>
      </c>
      <c r="B30" s="8" t="inlineStr">
        <is>
          <t>Coffee</t>
        </is>
      </c>
      <c r="C30" s="9" t="inlineStr">
        <is>
          <t>Kopi Susu Kekinian</t>
        </is>
      </c>
      <c r="D30" s="9" t="inlineStr">
        <is>
          <t>Hazelnut Latte</t>
        </is>
      </c>
      <c r="E30" s="9" t="inlineStr">
        <is>
          <t>Espresso, susu segar, dan sirup kacang hazelnut</t>
        </is>
      </c>
      <c r="F30" s="8" t="inlineStr">
        <is>
          <t>Cup 16oz</t>
        </is>
      </c>
      <c r="G30" s="10" t="n">
        <v>7500</v>
      </c>
      <c r="H30" s="10" t="n">
        <v>23000</v>
      </c>
      <c r="I30" s="10">
        <f>H30-G30</f>
        <v/>
      </c>
      <c r="J30" s="11">
        <f>I30/H30</f>
        <v/>
      </c>
    </row>
    <row r="31" ht="22" customHeight="1">
      <c r="A31" s="4" t="inlineStr">
        <is>
          <t>CF-FLV-07</t>
        </is>
      </c>
      <c r="B31" s="4" t="inlineStr">
        <is>
          <t>Coffee</t>
        </is>
      </c>
      <c r="C31" s="5" t="inlineStr">
        <is>
          <t>Kopi Susu Kekinian</t>
        </is>
      </c>
      <c r="D31" s="5" t="inlineStr">
        <is>
          <t>Caramel Macchiato Iced</t>
        </is>
      </c>
      <c r="E31" s="5" t="inlineStr">
        <is>
          <t>Vanilla syrup, susu, espresso floating, drizzle saus karamel</t>
        </is>
      </c>
      <c r="F31" s="4" t="inlineStr">
        <is>
          <t>Cup 16oz</t>
        </is>
      </c>
      <c r="G31" s="6" t="n">
        <v>8500</v>
      </c>
      <c r="H31" s="6" t="n">
        <v>26000</v>
      </c>
      <c r="I31" s="6">
        <f>H31-G31</f>
        <v/>
      </c>
      <c r="J31" s="7">
        <f>I31/H31</f>
        <v/>
      </c>
    </row>
    <row r="32" ht="22" customHeight="1">
      <c r="A32" s="8" t="inlineStr">
        <is>
          <t>CF-FLV-08</t>
        </is>
      </c>
      <c r="B32" s="8" t="inlineStr">
        <is>
          <t>Coffee</t>
        </is>
      </c>
      <c r="C32" s="9" t="inlineStr">
        <is>
          <t>Kopi Susu Kekinian</t>
        </is>
      </c>
      <c r="D32" s="9" t="inlineStr">
        <is>
          <t>Kopi Susu Cinnamon / Kayu Manis</t>
        </is>
      </c>
      <c r="E32" s="9" t="inlineStr">
        <is>
          <t>Espresso, susu, rempah bubuk kayu manis</t>
        </is>
      </c>
      <c r="F32" s="8" t="inlineStr">
        <is>
          <t>Cup 16oz</t>
        </is>
      </c>
      <c r="G32" s="10" t="n">
        <v>7000</v>
      </c>
      <c r="H32" s="10" t="n">
        <v>20000</v>
      </c>
      <c r="I32" s="10">
        <f>H32-G32</f>
        <v/>
      </c>
      <c r="J32" s="11">
        <f>I32/H32</f>
        <v/>
      </c>
    </row>
    <row r="33" ht="22" customHeight="1">
      <c r="A33" s="4" t="inlineStr">
        <is>
          <t>CF-FLV-09</t>
        </is>
      </c>
      <c r="B33" s="4" t="inlineStr">
        <is>
          <t>Coffee</t>
        </is>
      </c>
      <c r="C33" s="5" t="inlineStr">
        <is>
          <t>Kopi Susu Kekinian</t>
        </is>
      </c>
      <c r="D33" s="5" t="inlineStr">
        <is>
          <t>Kopi Susu Avocado</t>
        </is>
      </c>
      <c r="E33" s="5" t="inlineStr">
        <is>
          <t>Espresso dengan puree alpukat kental dan susu cokelat</t>
        </is>
      </c>
      <c r="F33" s="4" t="inlineStr">
        <is>
          <t>Cup 16oz</t>
        </is>
      </c>
      <c r="G33" s="6" t="n">
        <v>9500</v>
      </c>
      <c r="H33" s="6" t="n">
        <v>26000</v>
      </c>
      <c r="I33" s="6">
        <f>H33-G33</f>
        <v/>
      </c>
      <c r="J33" s="7">
        <f>I33/H33</f>
        <v/>
      </c>
    </row>
    <row r="34" ht="22" customHeight="1">
      <c r="A34" s="8" t="inlineStr">
        <is>
          <t>CF-FLV-10</t>
        </is>
      </c>
      <c r="B34" s="8" t="inlineStr">
        <is>
          <t>Coffee</t>
        </is>
      </c>
      <c r="C34" s="9" t="inlineStr">
        <is>
          <t>Kopi Susu Kekinian</t>
        </is>
      </c>
      <c r="D34" s="9" t="inlineStr">
        <is>
          <t>Kopi Susu Kelapa (Coconut Coffee)</t>
        </is>
      </c>
      <c r="E34" s="9" t="inlineStr">
        <is>
          <t>Espresso dipadu santan kelapa kental &amp; air kelapa</t>
        </is>
      </c>
      <c r="F34" s="8" t="inlineStr">
        <is>
          <t>Cup 16oz</t>
        </is>
      </c>
      <c r="G34" s="10" t="n">
        <v>7500</v>
      </c>
      <c r="H34" s="10" t="n">
        <v>22000</v>
      </c>
      <c r="I34" s="10">
        <f>H34-G34</f>
        <v/>
      </c>
      <c r="J34" s="11">
        <f>I34/H34</f>
        <v/>
      </c>
    </row>
    <row r="35" ht="22" customHeight="1">
      <c r="A35" s="4" t="inlineStr">
        <is>
          <t>CF-FLV-11</t>
        </is>
      </c>
      <c r="B35" s="4" t="inlineStr">
        <is>
          <t>Coffee</t>
        </is>
      </c>
      <c r="C35" s="5" t="inlineStr">
        <is>
          <t>Kopi Susu Kekinian</t>
        </is>
      </c>
      <c r="D35" s="5" t="inlineStr">
        <is>
          <t>Kopi Susu Durian</t>
        </is>
      </c>
      <c r="E35" s="5" t="inlineStr">
        <is>
          <t>Espresso dengan pasta daging buah durian asli</t>
        </is>
      </c>
      <c r="F35" s="4" t="inlineStr">
        <is>
          <t>Cup 16oz</t>
        </is>
      </c>
      <c r="G35" s="6" t="n">
        <v>11000</v>
      </c>
      <c r="H35" s="6" t="n">
        <v>28000</v>
      </c>
      <c r="I35" s="6">
        <f>H35-G35</f>
        <v/>
      </c>
      <c r="J35" s="7">
        <f>I35/H35</f>
        <v/>
      </c>
    </row>
    <row r="36" ht="22" customHeight="1">
      <c r="A36" s="8" t="inlineStr">
        <is>
          <t>CF-FLV-12</t>
        </is>
      </c>
      <c r="B36" s="8" t="inlineStr">
        <is>
          <t>Coffee</t>
        </is>
      </c>
      <c r="C36" s="9" t="inlineStr">
        <is>
          <t>Kopi Susu Kekinian</t>
        </is>
      </c>
      <c r="D36" s="9" t="inlineStr">
        <is>
          <t>Kopi Susu Rum (Non-Alcohol)</t>
        </is>
      </c>
      <c r="E36" s="9" t="inlineStr">
        <is>
          <t>Espresso, susu segar, dan perisa aroma rhum halal</t>
        </is>
      </c>
      <c r="F36" s="8" t="inlineStr">
        <is>
          <t>Cup 16oz</t>
        </is>
      </c>
      <c r="G36" s="10" t="n">
        <v>7500</v>
      </c>
      <c r="H36" s="10" t="n">
        <v>22000</v>
      </c>
      <c r="I36" s="10">
        <f>H36-G36</f>
        <v/>
      </c>
      <c r="J36" s="11">
        <f>I36/H36</f>
        <v/>
      </c>
    </row>
    <row r="37" ht="22" customHeight="1">
      <c r="A37" s="4" t="inlineStr">
        <is>
          <t>CF-TRD-01</t>
        </is>
      </c>
      <c r="B37" s="4" t="inlineStr">
        <is>
          <t>Coffee</t>
        </is>
      </c>
      <c r="C37" s="5" t="inlineStr">
        <is>
          <t>Tradisional Nusantara</t>
        </is>
      </c>
      <c r="D37" s="5" t="inlineStr">
        <is>
          <t>Kopi Tubruk Robusta Dampit</t>
        </is>
      </c>
      <c r="E37" s="5" t="inlineStr">
        <is>
          <t>Kopi robusta giling halus seduh air panas langsung</t>
        </is>
      </c>
      <c r="F37" s="4" t="inlineStr">
        <is>
          <t>Cangkir 200ml</t>
        </is>
      </c>
      <c r="G37" s="6" t="n">
        <v>2000</v>
      </c>
      <c r="H37" s="6" t="n">
        <v>8000</v>
      </c>
      <c r="I37" s="6">
        <f>H37-G37</f>
        <v/>
      </c>
      <c r="J37" s="7">
        <f>I37/H37</f>
        <v/>
      </c>
    </row>
    <row r="38" ht="22" customHeight="1">
      <c r="A38" s="8" t="inlineStr">
        <is>
          <t>CF-TRD-02</t>
        </is>
      </c>
      <c r="B38" s="8" t="inlineStr">
        <is>
          <t>Coffee</t>
        </is>
      </c>
      <c r="C38" s="9" t="inlineStr">
        <is>
          <t>Tradisional Nusantara</t>
        </is>
      </c>
      <c r="D38" s="9" t="inlineStr">
        <is>
          <t>Kopi Tubruk Arabika Gayo</t>
        </is>
      </c>
      <c r="E38" s="9" t="inlineStr">
        <is>
          <t>Kopi arabika single origin seduh tubruk tradisional</t>
        </is>
      </c>
      <c r="F38" s="8" t="inlineStr">
        <is>
          <t>Cangkir 200ml</t>
        </is>
      </c>
      <c r="G38" s="10" t="n">
        <v>3500</v>
      </c>
      <c r="H38" s="10" t="n">
        <v>14000</v>
      </c>
      <c r="I38" s="10">
        <f>H38-G38</f>
        <v/>
      </c>
      <c r="J38" s="11">
        <f>I38/H38</f>
        <v/>
      </c>
    </row>
    <row r="39" ht="22" customHeight="1">
      <c r="A39" s="4" t="inlineStr">
        <is>
          <t>CF-TRD-03</t>
        </is>
      </c>
      <c r="B39" s="4" t="inlineStr">
        <is>
          <t>Coffee</t>
        </is>
      </c>
      <c r="C39" s="5" t="inlineStr">
        <is>
          <t>Tradisional Nusantara</t>
        </is>
      </c>
      <c r="D39" s="5" t="inlineStr">
        <is>
          <t>Kopi Tarik Tradisional</t>
        </is>
      </c>
      <c r="E39" s="5" t="inlineStr">
        <is>
          <t>Kopi robusta kental ditarik tinggi dengan kental manis</t>
        </is>
      </c>
      <c r="F39" s="4" t="inlineStr">
        <is>
          <t>Gelas Kaca 250ml</t>
        </is>
      </c>
      <c r="G39" s="6" t="n">
        <v>4000</v>
      </c>
      <c r="H39" s="6" t="n">
        <v>14000</v>
      </c>
      <c r="I39" s="6">
        <f>H39-G39</f>
        <v/>
      </c>
      <c r="J39" s="7">
        <f>I39/H39</f>
        <v/>
      </c>
    </row>
    <row r="40" ht="22" customHeight="1">
      <c r="A40" s="8" t="inlineStr">
        <is>
          <t>CF-TRD-04</t>
        </is>
      </c>
      <c r="B40" s="8" t="inlineStr">
        <is>
          <t>Coffee</t>
        </is>
      </c>
      <c r="C40" s="9" t="inlineStr">
        <is>
          <t>Tradisional Nusantara</t>
        </is>
      </c>
      <c r="D40" s="9" t="inlineStr">
        <is>
          <t>Kopi Jahe Merah</t>
        </is>
      </c>
      <c r="E40" s="9" t="inlineStr">
        <is>
          <t>Kopi tubruk rebusan sari jahe merah dan rempah kapulaga</t>
        </is>
      </c>
      <c r="F40" s="8" t="inlineStr">
        <is>
          <t>Cangkir 200ml</t>
        </is>
      </c>
      <c r="G40" s="10" t="n">
        <v>3500</v>
      </c>
      <c r="H40" s="10" t="n">
        <v>12000</v>
      </c>
      <c r="I40" s="10">
        <f>H40-G40</f>
        <v/>
      </c>
      <c r="J40" s="11">
        <f>I40/H40</f>
        <v/>
      </c>
    </row>
    <row r="41" ht="22" customHeight="1">
      <c r="A41" s="4" t="inlineStr">
        <is>
          <t>CF-TRD-05</t>
        </is>
      </c>
      <c r="B41" s="4" t="inlineStr">
        <is>
          <t>Coffee</t>
        </is>
      </c>
      <c r="C41" s="5" t="inlineStr">
        <is>
          <t>Tradisional Nusantara</t>
        </is>
      </c>
      <c r="D41" s="5" t="inlineStr">
        <is>
          <t>Kopi Joss (Kopi Arang)</t>
        </is>
      </c>
      <c r="E41" s="5" t="inlineStr">
        <is>
          <t>Kopi tubruk manis dicelup bara arang kayu menyala khas Jogja</t>
        </is>
      </c>
      <c r="F41" s="4" t="inlineStr">
        <is>
          <t>Gelas Kaca 200ml</t>
        </is>
      </c>
      <c r="G41" s="6" t="n">
        <v>3000</v>
      </c>
      <c r="H41" s="6" t="n">
        <v>12000</v>
      </c>
      <c r="I41" s="6">
        <f>H41-G41</f>
        <v/>
      </c>
      <c r="J41" s="7">
        <f>I41/H41</f>
        <v/>
      </c>
    </row>
    <row r="42" ht="22" customHeight="1">
      <c r="A42" s="8" t="inlineStr">
        <is>
          <t>CF-TRD-06</t>
        </is>
      </c>
      <c r="B42" s="8" t="inlineStr">
        <is>
          <t>Coffee</t>
        </is>
      </c>
      <c r="C42" s="9" t="inlineStr">
        <is>
          <t>Tradisional Nusantara</t>
        </is>
      </c>
      <c r="D42" s="9" t="inlineStr">
        <is>
          <t>Kopi Khop (Gelas Terbalik)</t>
        </is>
      </c>
      <c r="E42" s="9" t="inlineStr">
        <is>
          <t>Kopi tubruk susu khas Meulaboh Aceh diminum dengan sedotan</t>
        </is>
      </c>
      <c r="F42" s="8" t="inlineStr">
        <is>
          <t>Gelas Terbalik 250ml</t>
        </is>
      </c>
      <c r="G42" s="10" t="n">
        <v>4500</v>
      </c>
      <c r="H42" s="10" t="n">
        <v>15000</v>
      </c>
      <c r="I42" s="10">
        <f>H42-G42</f>
        <v/>
      </c>
      <c r="J42" s="11">
        <f>I42/H42</f>
        <v/>
      </c>
    </row>
    <row r="43" ht="22" customHeight="1">
      <c r="A43" s="4" t="inlineStr">
        <is>
          <t>CF-TRD-07</t>
        </is>
      </c>
      <c r="B43" s="4" t="inlineStr">
        <is>
          <t>Coffee</t>
        </is>
      </c>
      <c r="C43" s="5" t="inlineStr">
        <is>
          <t>Tradisional Nusantara</t>
        </is>
      </c>
      <c r="D43" s="5" t="inlineStr">
        <is>
          <t>Kopi Rarobang</t>
        </is>
      </c>
      <c r="E43" s="5" t="inlineStr">
        <is>
          <t>Kopi khas Maluku dengan rebusan cengkeh, kayu manis &amp; kenari</t>
        </is>
      </c>
      <c r="F43" s="4" t="inlineStr">
        <is>
          <t>Cangkir 200ml</t>
        </is>
      </c>
      <c r="G43" s="6" t="n">
        <v>5000</v>
      </c>
      <c r="H43" s="6" t="n">
        <v>16000</v>
      </c>
      <c r="I43" s="6">
        <f>H43-G43</f>
        <v/>
      </c>
      <c r="J43" s="7">
        <f>I43/H43</f>
        <v/>
      </c>
    </row>
    <row r="44" ht="22" customHeight="1">
      <c r="A44" s="8" t="inlineStr">
        <is>
          <t>CF-TRD-08</t>
        </is>
      </c>
      <c r="B44" s="8" t="inlineStr">
        <is>
          <t>Coffee</t>
        </is>
      </c>
      <c r="C44" s="9" t="inlineStr">
        <is>
          <t>Tradisional Nusantara</t>
        </is>
      </c>
      <c r="D44" s="9" t="inlineStr">
        <is>
          <t>Kopi Talua (Kopi Telur)</t>
        </is>
      </c>
      <c r="E44" s="9" t="inlineStr">
        <is>
          <t>Kopi panas dikocok dengan kuning telur bebek khas Minang</t>
        </is>
      </c>
      <c r="F44" s="8" t="inlineStr">
        <is>
          <t>Gelas Kaca 200ml</t>
        </is>
      </c>
      <c r="G44" s="10" t="n">
        <v>6000</v>
      </c>
      <c r="H44" s="10" t="n">
        <v>18000</v>
      </c>
      <c r="I44" s="10">
        <f>H44-G44</f>
        <v/>
      </c>
      <c r="J44" s="11">
        <f>I44/H44</f>
        <v/>
      </c>
    </row>
    <row r="45" ht="22" customHeight="1">
      <c r="A45" s="4" t="inlineStr">
        <is>
          <t>CF-MNB-01</t>
        </is>
      </c>
      <c r="B45" s="4" t="inlineStr">
        <is>
          <t>Coffee</t>
        </is>
      </c>
      <c r="C45" s="5" t="inlineStr">
        <is>
          <t>Manual Brew</t>
        </is>
      </c>
      <c r="D45" s="5" t="inlineStr">
        <is>
          <t>V60 Pour Over - Arabika Gayo Aceh</t>
        </is>
      </c>
      <c r="E45" s="5" t="inlineStr">
        <is>
          <t>Seduh lambat filter kertas, aroma floral &amp; citrusy</t>
        </is>
      </c>
      <c r="F45" s="4" t="inlineStr">
        <is>
          <t>Server / Cup 180ml</t>
        </is>
      </c>
      <c r="G45" s="6" t="n">
        <v>6000</v>
      </c>
      <c r="H45" s="6" t="n">
        <v>25000</v>
      </c>
      <c r="I45" s="6">
        <f>H45-G45</f>
        <v/>
      </c>
      <c r="J45" s="7">
        <f>I45/H45</f>
        <v/>
      </c>
    </row>
    <row r="46" ht="22" customHeight="1">
      <c r="A46" s="8" t="inlineStr">
        <is>
          <t>CF-MNB-02</t>
        </is>
      </c>
      <c r="B46" s="8" t="inlineStr">
        <is>
          <t>Coffee</t>
        </is>
      </c>
      <c r="C46" s="9" t="inlineStr">
        <is>
          <t>Manual Brew</t>
        </is>
      </c>
      <c r="D46" s="9" t="inlineStr">
        <is>
          <t>V60 Pour Over - Arabika Toraja Sapan</t>
        </is>
      </c>
      <c r="E46" s="9" t="inlineStr">
        <is>
          <t>Seduh lambat filter kertas, aroma rempah herbal &amp; earthy</t>
        </is>
      </c>
      <c r="F46" s="8" t="inlineStr">
        <is>
          <t>Server / Cup 180ml</t>
        </is>
      </c>
      <c r="G46" s="10" t="n">
        <v>6500</v>
      </c>
      <c r="H46" s="10" t="n">
        <v>25000</v>
      </c>
      <c r="I46" s="10">
        <f>H46-G46</f>
        <v/>
      </c>
      <c r="J46" s="11">
        <f>I46/H46</f>
        <v/>
      </c>
    </row>
    <row r="47" ht="22" customHeight="1">
      <c r="A47" s="4" t="inlineStr">
        <is>
          <t>CF-MNB-03</t>
        </is>
      </c>
      <c r="B47" s="4" t="inlineStr">
        <is>
          <t>Coffee</t>
        </is>
      </c>
      <c r="C47" s="5" t="inlineStr">
        <is>
          <t>Manual Brew</t>
        </is>
      </c>
      <c r="D47" s="5" t="inlineStr">
        <is>
          <t>V60 Pour Over - Arabika Kintamani Bali</t>
        </is>
      </c>
      <c r="E47" s="5" t="inlineStr">
        <is>
          <t>Seduh filter kertas, acidity jeruk cerah &amp; fruity</t>
        </is>
      </c>
      <c r="F47" s="4" t="inlineStr">
        <is>
          <t>Server / Cup 180ml</t>
        </is>
      </c>
      <c r="G47" s="6" t="n">
        <v>6000</v>
      </c>
      <c r="H47" s="6" t="n">
        <v>25000</v>
      </c>
      <c r="I47" s="6">
        <f>H47-G47</f>
        <v/>
      </c>
      <c r="J47" s="7">
        <f>I47/H47</f>
        <v/>
      </c>
    </row>
    <row r="48" ht="22" customHeight="1">
      <c r="A48" s="8" t="inlineStr">
        <is>
          <t>CF-MNB-04</t>
        </is>
      </c>
      <c r="B48" s="8" t="inlineStr">
        <is>
          <t>Coffee</t>
        </is>
      </c>
      <c r="C48" s="9" t="inlineStr">
        <is>
          <t>Manual Brew</t>
        </is>
      </c>
      <c r="D48" s="9" t="inlineStr">
        <is>
          <t>V60 Pour Over - Arabika Mandheling</t>
        </is>
      </c>
      <c r="E48" s="9" t="inlineStr">
        <is>
          <t>Seduh filter kertas, body tebal rasa cokelat rempah</t>
        </is>
      </c>
      <c r="F48" s="8" t="inlineStr">
        <is>
          <t>Server / Cup 180ml</t>
        </is>
      </c>
      <c r="G48" s="10" t="n">
        <v>6000</v>
      </c>
      <c r="H48" s="10" t="n">
        <v>25000</v>
      </c>
      <c r="I48" s="10">
        <f>H48-G48</f>
        <v/>
      </c>
      <c r="J48" s="11">
        <f>I48/H48</f>
        <v/>
      </c>
    </row>
    <row r="49" ht="22" customHeight="1">
      <c r="A49" s="4" t="inlineStr">
        <is>
          <t>CF-MNB-05</t>
        </is>
      </c>
      <c r="B49" s="4" t="inlineStr">
        <is>
          <t>Coffee</t>
        </is>
      </c>
      <c r="C49" s="5" t="inlineStr">
        <is>
          <t>Manual Brew</t>
        </is>
      </c>
      <c r="D49" s="5" t="inlineStr">
        <is>
          <t>V60 Pour Over - Arabika Ijen Raung</t>
        </is>
      </c>
      <c r="E49" s="5" t="inlineStr">
        <is>
          <t>Seduh filter kertas, rasa nutty cokelat keasaman sedang</t>
        </is>
      </c>
      <c r="F49" s="4" t="inlineStr">
        <is>
          <t>Server / Cup 180ml</t>
        </is>
      </c>
      <c r="G49" s="6" t="n">
        <v>6000</v>
      </c>
      <c r="H49" s="6" t="n">
        <v>24000</v>
      </c>
      <c r="I49" s="6">
        <f>H49-G49</f>
        <v/>
      </c>
      <c r="J49" s="7">
        <f>I49/H49</f>
        <v/>
      </c>
    </row>
    <row r="50" ht="22" customHeight="1">
      <c r="A50" s="8" t="inlineStr">
        <is>
          <t>CF-MNB-06</t>
        </is>
      </c>
      <c r="B50" s="8" t="inlineStr">
        <is>
          <t>Coffee</t>
        </is>
      </c>
      <c r="C50" s="9" t="inlineStr">
        <is>
          <t>Manual Brew</t>
        </is>
      </c>
      <c r="D50" s="9" t="inlineStr">
        <is>
          <t>Japanese Iced Drip V60</t>
        </is>
      </c>
      <c r="E50" s="9" t="inlineStr">
        <is>
          <t>V60 manual brew yang langsung menetes ke tumpukan es</t>
        </is>
      </c>
      <c r="F50" s="8" t="inlineStr">
        <is>
          <t>Server + Es 250ml</t>
        </is>
      </c>
      <c r="G50" s="10" t="n">
        <v>6500</v>
      </c>
      <c r="H50" s="10" t="n">
        <v>26000</v>
      </c>
      <c r="I50" s="10">
        <f>H50-G50</f>
        <v/>
      </c>
      <c r="J50" s="11">
        <f>I50/H50</f>
        <v/>
      </c>
    </row>
    <row r="51" ht="22" customHeight="1">
      <c r="A51" s="4" t="inlineStr">
        <is>
          <t>CF-MNB-07</t>
        </is>
      </c>
      <c r="B51" s="4" t="inlineStr">
        <is>
          <t>Coffee</t>
        </is>
      </c>
      <c r="C51" s="5" t="inlineStr">
        <is>
          <t>Manual Brew</t>
        </is>
      </c>
      <c r="D51" s="5" t="inlineStr">
        <is>
          <t>Aeropress Single Origin</t>
        </is>
      </c>
      <c r="E51" s="5" t="inlineStr">
        <is>
          <t>Kopi seduh tekanan manual, ekstraksi pekat minim sedimen</t>
        </is>
      </c>
      <c r="F51" s="4" t="inlineStr">
        <is>
          <t>Cup 180ml</t>
        </is>
      </c>
      <c r="G51" s="6" t="n">
        <v>6000</v>
      </c>
      <c r="H51" s="6" t="n">
        <v>24000</v>
      </c>
      <c r="I51" s="6">
        <f>H51-G51</f>
        <v/>
      </c>
      <c r="J51" s="7">
        <f>I51/H51</f>
        <v/>
      </c>
    </row>
    <row r="52" ht="22" customHeight="1">
      <c r="A52" s="8" t="inlineStr">
        <is>
          <t>CF-MNB-08</t>
        </is>
      </c>
      <c r="B52" s="8" t="inlineStr">
        <is>
          <t>Coffee</t>
        </is>
      </c>
      <c r="C52" s="9" t="inlineStr">
        <is>
          <t>Manual Brew</t>
        </is>
      </c>
      <c r="D52" s="9" t="inlineStr">
        <is>
          <t>French Press Coffee</t>
        </is>
      </c>
      <c r="E52" s="9" t="inlineStr">
        <is>
          <t>Seduh immersion kopi giling kasar, bodi tebal berminyak</t>
        </is>
      </c>
      <c r="F52" s="8" t="inlineStr">
        <is>
          <t>Pot 350ml</t>
        </is>
      </c>
      <c r="G52" s="10" t="n">
        <v>5000</v>
      </c>
      <c r="H52" s="10" t="n">
        <v>20000</v>
      </c>
      <c r="I52" s="10">
        <f>H52-G52</f>
        <v/>
      </c>
      <c r="J52" s="11">
        <f>I52/H52</f>
        <v/>
      </c>
    </row>
    <row r="53" ht="22" customHeight="1">
      <c r="A53" s="4" t="inlineStr">
        <is>
          <t>CF-MNB-09</t>
        </is>
      </c>
      <c r="B53" s="4" t="inlineStr">
        <is>
          <t>Coffee</t>
        </is>
      </c>
      <c r="C53" s="5" t="inlineStr">
        <is>
          <t>Manual Brew</t>
        </is>
      </c>
      <c r="D53" s="5" t="inlineStr">
        <is>
          <t>Vietnam Drip (Kopi Tetes Susu)</t>
        </is>
      </c>
      <c r="E53" s="5" t="inlineStr">
        <is>
          <t>Drip filter logam tradisional dengan susu kental manis</t>
        </is>
      </c>
      <c r="F53" s="4" t="inlineStr">
        <is>
          <t>Gelas Kaca 200ml</t>
        </is>
      </c>
      <c r="G53" s="6" t="n">
        <v>4500</v>
      </c>
      <c r="H53" s="6" t="n">
        <v>15000</v>
      </c>
      <c r="I53" s="6">
        <f>H53-G53</f>
        <v/>
      </c>
      <c r="J53" s="7">
        <f>I53/H53</f>
        <v/>
      </c>
    </row>
    <row r="54" ht="22" customHeight="1">
      <c r="A54" s="8" t="inlineStr">
        <is>
          <t>CF-MNB-10</t>
        </is>
      </c>
      <c r="B54" s="8" t="inlineStr">
        <is>
          <t>Coffee</t>
        </is>
      </c>
      <c r="C54" s="9" t="inlineStr">
        <is>
          <t>Manual Brew</t>
        </is>
      </c>
      <c r="D54" s="9" t="inlineStr">
        <is>
          <t>Moka Pot Stovetop Espresso</t>
        </is>
      </c>
      <c r="E54" s="9" t="inlineStr">
        <is>
          <t>Seduhan uap bertekanan kompor rasa sangat pekat klasik</t>
        </is>
      </c>
      <c r="F54" s="8" t="inlineStr">
        <is>
          <t>Cup 100ml</t>
        </is>
      </c>
      <c r="G54" s="10" t="n">
        <v>4000</v>
      </c>
      <c r="H54" s="10" t="n">
        <v>15000</v>
      </c>
      <c r="I54" s="10">
        <f>H54-G54</f>
        <v/>
      </c>
      <c r="J54" s="11">
        <f>I54/H54</f>
        <v/>
      </c>
    </row>
    <row r="55" ht="22" customHeight="1">
      <c r="A55" s="4" t="inlineStr">
        <is>
          <t>CF-MNB-11</t>
        </is>
      </c>
      <c r="B55" s="4" t="inlineStr">
        <is>
          <t>Coffee</t>
        </is>
      </c>
      <c r="C55" s="5" t="inlineStr">
        <is>
          <t>Manual Brew</t>
        </is>
      </c>
      <c r="D55" s="5" t="inlineStr">
        <is>
          <t>Cold Brew Coffee Original</t>
        </is>
      </c>
      <c r="E55" s="5" t="inlineStr">
        <is>
          <t>Kopi rendam air dingin 16-24 jam, lembut tanpa asam lambung</t>
        </is>
      </c>
      <c r="F55" s="4" t="inlineStr">
        <is>
          <t>Botol 250ml</t>
        </is>
      </c>
      <c r="G55" s="6" t="n">
        <v>6000</v>
      </c>
      <c r="H55" s="6" t="n">
        <v>22000</v>
      </c>
      <c r="I55" s="6">
        <f>H55-G55</f>
        <v/>
      </c>
      <c r="J55" s="7">
        <f>I55/H55</f>
        <v/>
      </c>
    </row>
    <row r="56" ht="22" customHeight="1">
      <c r="A56" s="8" t="inlineStr">
        <is>
          <t>CF-MNB-12</t>
        </is>
      </c>
      <c r="B56" s="8" t="inlineStr">
        <is>
          <t>Coffee</t>
        </is>
      </c>
      <c r="C56" s="9" t="inlineStr">
        <is>
          <t>Manual Brew</t>
        </is>
      </c>
      <c r="D56" s="9" t="inlineStr">
        <is>
          <t>Cold Brew White (Milk / Aren)</t>
        </is>
      </c>
      <c r="E56" s="9" t="inlineStr">
        <is>
          <t>Cold brew pekat dipadu susu gurih dan gula aren</t>
        </is>
      </c>
      <c r="F56" s="8" t="inlineStr">
        <is>
          <t>Botol 250ml</t>
        </is>
      </c>
      <c r="G56" s="10" t="n">
        <v>7500</v>
      </c>
      <c r="H56" s="10" t="n">
        <v>25000</v>
      </c>
      <c r="I56" s="10">
        <f>H56-G56</f>
        <v/>
      </c>
      <c r="J56" s="11">
        <f>I56/H56</f>
        <v/>
      </c>
    </row>
    <row r="57" ht="22" customHeight="1">
      <c r="A57" s="4" t="inlineStr">
        <is>
          <t>CF-MNB-13</t>
        </is>
      </c>
      <c r="B57" s="4" t="inlineStr">
        <is>
          <t>Coffee</t>
        </is>
      </c>
      <c r="C57" s="5" t="inlineStr">
        <is>
          <t>Manual Brew</t>
        </is>
      </c>
      <c r="D57" s="5" t="inlineStr">
        <is>
          <t>Cascara Tea (Teh Kulit Kopi)</t>
        </is>
      </c>
      <c r="E57" s="5" t="inlineStr">
        <is>
          <t>Seduhan sedap dari kulit buah kopi kering, kaya antioksidan</t>
        </is>
      </c>
      <c r="F57" s="4" t="inlineStr">
        <is>
          <t>Hot/Cold 250ml</t>
        </is>
      </c>
      <c r="G57" s="6" t="n">
        <v>4000</v>
      </c>
      <c r="H57" s="6" t="n">
        <v>18000</v>
      </c>
      <c r="I57" s="6">
        <f>H57-G57</f>
        <v/>
      </c>
      <c r="J57" s="7">
        <f>I57/H57</f>
        <v/>
      </c>
    </row>
    <row r="58" ht="22" customHeight="1">
      <c r="A58" s="8" t="inlineStr">
        <is>
          <t>CF-MCK-01</t>
        </is>
      </c>
      <c r="B58" s="8" t="inlineStr">
        <is>
          <t>Coffee</t>
        </is>
      </c>
      <c r="C58" s="9" t="inlineStr">
        <is>
          <t>Coffee Mocktail</t>
        </is>
      </c>
      <c r="D58" s="9" t="inlineStr">
        <is>
          <t>Espresso Tonic</t>
        </is>
      </c>
      <c r="E58" s="9" t="inlineStr">
        <is>
          <t>Double espresso dipadu sparkling tonic water dan lemon slice</t>
        </is>
      </c>
      <c r="F58" s="8" t="inlineStr">
        <is>
          <t>Highball Glass 300ml</t>
        </is>
      </c>
      <c r="G58" s="10" t="n">
        <v>8000</v>
      </c>
      <c r="H58" s="10" t="n">
        <v>26000</v>
      </c>
      <c r="I58" s="10">
        <f>H58-G58</f>
        <v/>
      </c>
      <c r="J58" s="11">
        <f>I58/H58</f>
        <v/>
      </c>
    </row>
    <row r="59" ht="22" customHeight="1">
      <c r="A59" s="4" t="inlineStr">
        <is>
          <t>CF-MCK-02</t>
        </is>
      </c>
      <c r="B59" s="4" t="inlineStr">
        <is>
          <t>Coffee</t>
        </is>
      </c>
      <c r="C59" s="5" t="inlineStr">
        <is>
          <t>Coffee Mocktail</t>
        </is>
      </c>
      <c r="D59" s="5" t="inlineStr">
        <is>
          <t>Orange Cold Brew Mocktail</t>
        </is>
      </c>
      <c r="E59" s="5" t="inlineStr">
        <is>
          <t>Cold brew dipadu sari jeruk sunkist peras dan madu</t>
        </is>
      </c>
      <c r="F59" s="4" t="inlineStr">
        <is>
          <t>Highball Glass 300ml</t>
        </is>
      </c>
      <c r="G59" s="6" t="n">
        <v>8500</v>
      </c>
      <c r="H59" s="6" t="n">
        <v>28000</v>
      </c>
      <c r="I59" s="6">
        <f>H59-G59</f>
        <v/>
      </c>
      <c r="J59" s="7">
        <f>I59/H59</f>
        <v/>
      </c>
    </row>
    <row r="60" ht="22" customHeight="1">
      <c r="A60" s="8" t="inlineStr">
        <is>
          <t>CF-MCK-03</t>
        </is>
      </c>
      <c r="B60" s="8" t="inlineStr">
        <is>
          <t>Coffee</t>
        </is>
      </c>
      <c r="C60" s="9" t="inlineStr">
        <is>
          <t>Coffee Mocktail</t>
        </is>
      </c>
      <c r="D60" s="9" t="inlineStr">
        <is>
          <t>Yuzu Mint Cold Brew</t>
        </is>
      </c>
      <c r="E60" s="9" t="inlineStr">
        <is>
          <t>Cold brew dengan puree jeruk yuzu jepang dan daun mint</t>
        </is>
      </c>
      <c r="F60" s="8" t="inlineStr">
        <is>
          <t>Highball Glass 300ml</t>
        </is>
      </c>
      <c r="G60" s="10" t="n">
        <v>9500</v>
      </c>
      <c r="H60" s="10" t="n">
        <v>30000</v>
      </c>
      <c r="I60" s="10">
        <f>H60-G60</f>
        <v/>
      </c>
      <c r="J60" s="11">
        <f>I60/H60</f>
        <v/>
      </c>
    </row>
    <row r="61" ht="22" customHeight="1">
      <c r="A61" s="4" t="inlineStr">
        <is>
          <t>CF-MCK-04</t>
        </is>
      </c>
      <c r="B61" s="4" t="inlineStr">
        <is>
          <t>Coffee</t>
        </is>
      </c>
      <c r="C61" s="5" t="inlineStr">
        <is>
          <t>Coffee Mocktail</t>
        </is>
      </c>
      <c r="D61" s="5" t="inlineStr">
        <is>
          <t>Espresso Ginger Soda</t>
        </is>
      </c>
      <c r="E61" s="5" t="inlineStr">
        <is>
          <t>Espresso dengan ginger ale soda pedas segar dan rosemary</t>
        </is>
      </c>
      <c r="F61" s="4" t="inlineStr">
        <is>
          <t>Highball Glass 300ml</t>
        </is>
      </c>
      <c r="G61" s="6" t="n">
        <v>8500</v>
      </c>
      <c r="H61" s="6" t="n">
        <v>26000</v>
      </c>
      <c r="I61" s="6">
        <f>H61-G61</f>
        <v/>
      </c>
      <c r="J61" s="7">
        <f>I61/H61</f>
        <v/>
      </c>
    </row>
    <row r="62" ht="22" customHeight="1">
      <c r="A62" s="8" t="inlineStr">
        <is>
          <t>CF-MCK-05</t>
        </is>
      </c>
      <c r="B62" s="8" t="inlineStr">
        <is>
          <t>Coffee</t>
        </is>
      </c>
      <c r="C62" s="9" t="inlineStr">
        <is>
          <t>Coffee Mocktail</t>
        </is>
      </c>
      <c r="D62" s="9" t="inlineStr">
        <is>
          <t>Berry Lemonade Coffee</t>
        </is>
      </c>
      <c r="E62" s="9" t="inlineStr">
        <is>
          <t>Espresso dipadukan sirup strawberry concentrate dan lemonade</t>
        </is>
      </c>
      <c r="F62" s="8" t="inlineStr">
        <is>
          <t>Highball Glass 300ml</t>
        </is>
      </c>
      <c r="G62" s="10" t="n">
        <v>8500</v>
      </c>
      <c r="H62" s="10" t="n">
        <v>28000</v>
      </c>
      <c r="I62" s="10">
        <f>H62-G62</f>
        <v/>
      </c>
      <c r="J62" s="11">
        <f>I62/H62</f>
        <v/>
      </c>
    </row>
    <row r="63" ht="22" customHeight="1">
      <c r="A63" s="4" t="inlineStr">
        <is>
          <t>TE-TRD-01</t>
        </is>
      </c>
      <c r="B63" s="4" t="inlineStr">
        <is>
          <t>Tea</t>
        </is>
      </c>
      <c r="C63" s="5" t="inlineStr">
        <is>
          <t>Tradisional Nusantara</t>
        </is>
      </c>
      <c r="D63" s="5" t="inlineStr">
        <is>
          <t>Teh Tubruk Melati Asli</t>
        </is>
      </c>
      <c r="E63" s="5" t="inlineStr">
        <is>
          <t>Daun teh wangi melati racikan Solo/Pekalongan diseduh tubruk</t>
        </is>
      </c>
      <c r="F63" s="4" t="inlineStr">
        <is>
          <t>Cangkir / Cup 16oz</t>
        </is>
      </c>
      <c r="G63" s="6" t="n">
        <v>1800</v>
      </c>
      <c r="H63" s="6" t="n">
        <v>8000</v>
      </c>
      <c r="I63" s="6">
        <f>H63-G63</f>
        <v/>
      </c>
      <c r="J63" s="7">
        <f>I63/H63</f>
        <v/>
      </c>
    </row>
    <row r="64" ht="22" customHeight="1">
      <c r="A64" s="8" t="inlineStr">
        <is>
          <t>TE-TRD-02</t>
        </is>
      </c>
      <c r="B64" s="8" t="inlineStr">
        <is>
          <t>Tea</t>
        </is>
      </c>
      <c r="C64" s="9" t="inlineStr">
        <is>
          <t>Tradisional Nusantara</t>
        </is>
      </c>
      <c r="D64" s="9" t="inlineStr">
        <is>
          <t>Teh Manis Wasgitel Solo</t>
        </is>
      </c>
      <c r="E64" s="9" t="inlineStr">
        <is>
          <t>Teh wangi, panas, legi (manis), dan kenthel (kental)</t>
        </is>
      </c>
      <c r="F64" s="8" t="inlineStr">
        <is>
          <t>Cup 16oz / Gelas</t>
        </is>
      </c>
      <c r="G64" s="10" t="n">
        <v>2000</v>
      </c>
      <c r="H64" s="10" t="n">
        <v>8000</v>
      </c>
      <c r="I64" s="10">
        <f>H64-G64</f>
        <v/>
      </c>
      <c r="J64" s="11">
        <f>I64/H64</f>
        <v/>
      </c>
    </row>
    <row r="65" ht="22" customHeight="1">
      <c r="A65" s="4" t="inlineStr">
        <is>
          <t>TE-TRD-03</t>
        </is>
      </c>
      <c r="B65" s="4" t="inlineStr">
        <is>
          <t>Tea</t>
        </is>
      </c>
      <c r="C65" s="5" t="inlineStr">
        <is>
          <t>Tradisional Nusantara</t>
        </is>
      </c>
      <c r="D65" s="5" t="inlineStr">
        <is>
          <t>Teh Kampul Khas Solo</t>
        </is>
      </c>
      <c r="E65" s="5" t="inlineStr">
        <is>
          <t>Es teh manis melati dengan irisan jeruk peras lokal mengapung</t>
        </is>
      </c>
      <c r="F65" s="4" t="inlineStr">
        <is>
          <t>Cup 16oz / Jumbo</t>
        </is>
      </c>
      <c r="G65" s="6" t="n">
        <v>2800</v>
      </c>
      <c r="H65" s="6" t="n">
        <v>12000</v>
      </c>
      <c r="I65" s="6">
        <f>H65-G65</f>
        <v/>
      </c>
      <c r="J65" s="7">
        <f>I65/H65</f>
        <v/>
      </c>
    </row>
    <row r="66" ht="22" customHeight="1">
      <c r="A66" s="8" t="inlineStr">
        <is>
          <t>TE-TRD-04</t>
        </is>
      </c>
      <c r="B66" s="8" t="inlineStr">
        <is>
          <t>Tea</t>
        </is>
      </c>
      <c r="C66" s="9" t="inlineStr">
        <is>
          <t>Tradisional Nusantara</t>
        </is>
      </c>
      <c r="D66" s="9" t="inlineStr">
        <is>
          <t>Teh Poci Gula Batu</t>
        </is>
      </c>
      <c r="E66" s="9" t="inlineStr">
        <is>
          <t>Teh diseduh dalam poci tanah liat disajikan dengan gula batu</t>
        </is>
      </c>
      <c r="F66" s="8" t="inlineStr">
        <is>
          <t>Poci Tanah Liat Set</t>
        </is>
      </c>
      <c r="G66" s="10" t="n">
        <v>3500</v>
      </c>
      <c r="H66" s="10" t="n">
        <v>16000</v>
      </c>
      <c r="I66" s="10">
        <f>H66-G66</f>
        <v/>
      </c>
      <c r="J66" s="11">
        <f>I66/H66</f>
        <v/>
      </c>
    </row>
    <row r="67" ht="22" customHeight="1">
      <c r="A67" s="4" t="inlineStr">
        <is>
          <t>TE-TRD-05</t>
        </is>
      </c>
      <c r="B67" s="4" t="inlineStr">
        <is>
          <t>Tea</t>
        </is>
      </c>
      <c r="C67" s="5" t="inlineStr">
        <is>
          <t>Tradisional Nusantara</t>
        </is>
      </c>
      <c r="D67" s="5" t="inlineStr">
        <is>
          <t>Teh Tarik Melayu</t>
        </is>
      </c>
      <c r="E67" s="5" t="inlineStr">
        <is>
          <t>Teh hitam pekat dikocok berbusa dengan kental manis</t>
        </is>
      </c>
      <c r="F67" s="4" t="inlineStr">
        <is>
          <t>Gelas Kaca / 16oz</t>
        </is>
      </c>
      <c r="G67" s="6" t="n">
        <v>4500</v>
      </c>
      <c r="H67" s="6" t="n">
        <v>15000</v>
      </c>
      <c r="I67" s="6">
        <f>H67-G67</f>
        <v/>
      </c>
      <c r="J67" s="7">
        <f>I67/H67</f>
        <v/>
      </c>
    </row>
    <row r="68" ht="22" customHeight="1">
      <c r="A68" s="8" t="inlineStr">
        <is>
          <t>TE-TRD-06</t>
        </is>
      </c>
      <c r="B68" s="8" t="inlineStr">
        <is>
          <t>Tea</t>
        </is>
      </c>
      <c r="C68" s="9" t="inlineStr">
        <is>
          <t>Tradisional Nusantara</t>
        </is>
      </c>
      <c r="D68" s="9" t="inlineStr">
        <is>
          <t>Teh Talua (Teh Telur Padang)</t>
        </is>
      </c>
      <c r="E68" s="9" t="inlineStr">
        <is>
          <t>Teh hitam kental panas dikocok kuning telur dan perasan jeruk nipis</t>
        </is>
      </c>
      <c r="F68" s="8" t="inlineStr">
        <is>
          <t>Gelas Kaca 200ml</t>
        </is>
      </c>
      <c r="G68" s="10" t="n">
        <v>5500</v>
      </c>
      <c r="H68" s="10" t="n">
        <v>16000</v>
      </c>
      <c r="I68" s="10">
        <f>H68-G68</f>
        <v/>
      </c>
      <c r="J68" s="11">
        <f>I68/H68</f>
        <v/>
      </c>
    </row>
    <row r="69" ht="22" customHeight="1">
      <c r="A69" s="4" t="inlineStr">
        <is>
          <t>TE-TRD-07</t>
        </is>
      </c>
      <c r="B69" s="4" t="inlineStr">
        <is>
          <t>Tea</t>
        </is>
      </c>
      <c r="C69" s="5" t="inlineStr">
        <is>
          <t>Tradisional Nusantara</t>
        </is>
      </c>
      <c r="D69" s="5" t="inlineStr">
        <is>
          <t>Teh Serai Wangi (Lemongrass Tea)</t>
        </is>
      </c>
      <c r="E69" s="5" t="inlineStr">
        <is>
          <t>Rebusan batang serai wangi geprek dipadu daun teh hijau</t>
        </is>
      </c>
      <c r="F69" s="4" t="inlineStr">
        <is>
          <t>Hot/Iced 300ml</t>
        </is>
      </c>
      <c r="G69" s="6" t="n">
        <v>2500</v>
      </c>
      <c r="H69" s="6" t="n">
        <v>12000</v>
      </c>
      <c r="I69" s="6">
        <f>H69-G69</f>
        <v/>
      </c>
      <c r="J69" s="7">
        <f>I69/H69</f>
        <v/>
      </c>
    </row>
    <row r="70" ht="22" customHeight="1">
      <c r="A70" s="8" t="inlineStr">
        <is>
          <t>TE-TRD-08</t>
        </is>
      </c>
      <c r="B70" s="8" t="inlineStr">
        <is>
          <t>Tea</t>
        </is>
      </c>
      <c r="C70" s="9" t="inlineStr">
        <is>
          <t>Tradisional Nusantara</t>
        </is>
      </c>
      <c r="D70" s="9" t="inlineStr">
        <is>
          <t>Teh Jahe Rempah Nusantara</t>
        </is>
      </c>
      <c r="E70" s="9" t="inlineStr">
        <is>
          <t>Seduhan teh hitam, jahe emprit, kapulaga, dan kayu manis</t>
        </is>
      </c>
      <c r="F70" s="8" t="inlineStr">
        <is>
          <t>Cangkir 250ml</t>
        </is>
      </c>
      <c r="G70" s="10" t="n">
        <v>3500</v>
      </c>
      <c r="H70" s="10" t="n">
        <v>14000</v>
      </c>
      <c r="I70" s="10">
        <f>H70-G70</f>
        <v/>
      </c>
      <c r="J70" s="11">
        <f>I70/H70</f>
        <v/>
      </c>
    </row>
    <row r="71" ht="22" customHeight="1">
      <c r="A71" s="4" t="inlineStr">
        <is>
          <t>TE-ART-01</t>
        </is>
      </c>
      <c r="B71" s="4" t="inlineStr">
        <is>
          <t>Tea</t>
        </is>
      </c>
      <c r="C71" s="5" t="inlineStr">
        <is>
          <t>Pure Tea Artisan</t>
        </is>
      </c>
      <c r="D71" s="5" t="inlineStr">
        <is>
          <t>English Breakfast Black Tea</t>
        </is>
      </c>
      <c r="E71" s="5" t="inlineStr">
        <is>
          <t>Teh hitam blend klasik bodi pekat rasa kuat</t>
        </is>
      </c>
      <c r="F71" s="4" t="inlineStr">
        <is>
          <t>Pot / Hot Cup</t>
        </is>
      </c>
      <c r="G71" s="6" t="n">
        <v>3000</v>
      </c>
      <c r="H71" s="6" t="n">
        <v>15000</v>
      </c>
      <c r="I71" s="6">
        <f>H71-G71</f>
        <v/>
      </c>
      <c r="J71" s="7">
        <f>I71/H71</f>
        <v/>
      </c>
    </row>
    <row r="72" ht="22" customHeight="1">
      <c r="A72" s="8" t="inlineStr">
        <is>
          <t>TE-ART-02</t>
        </is>
      </c>
      <c r="B72" s="8" t="inlineStr">
        <is>
          <t>Tea</t>
        </is>
      </c>
      <c r="C72" s="9" t="inlineStr">
        <is>
          <t>Pure Tea Artisan</t>
        </is>
      </c>
      <c r="D72" s="9" t="inlineStr">
        <is>
          <t>Earl Grey Tea (Bergamot)</t>
        </is>
      </c>
      <c r="E72" s="9" t="inlineStr">
        <is>
          <t>Teh hitam dengan aroma sitrus minyak bergamot Italia</t>
        </is>
      </c>
      <c r="F72" s="8" t="inlineStr">
        <is>
          <t>Pot / Hot Cup</t>
        </is>
      </c>
      <c r="G72" s="10" t="n">
        <v>3500</v>
      </c>
      <c r="H72" s="10" t="n">
        <v>18000</v>
      </c>
      <c r="I72" s="10">
        <f>H72-G72</f>
        <v/>
      </c>
      <c r="J72" s="11">
        <f>I72/H72</f>
        <v/>
      </c>
    </row>
    <row r="73" ht="22" customHeight="1">
      <c r="A73" s="4" t="inlineStr">
        <is>
          <t>TE-ART-03</t>
        </is>
      </c>
      <c r="B73" s="4" t="inlineStr">
        <is>
          <t>Tea</t>
        </is>
      </c>
      <c r="C73" s="5" t="inlineStr">
        <is>
          <t>Pure Tea Artisan</t>
        </is>
      </c>
      <c r="D73" s="5" t="inlineStr">
        <is>
          <t>Sencha Green Tea Jepang</t>
        </is>
      </c>
      <c r="E73" s="5" t="inlineStr">
        <is>
          <t>Teh hijau kukus khas Jepang beraroma rumput laut segar</t>
        </is>
      </c>
      <c r="F73" s="4" t="inlineStr">
        <is>
          <t>Pot / Hot Cup</t>
        </is>
      </c>
      <c r="G73" s="6" t="n">
        <v>4000</v>
      </c>
      <c r="H73" s="6" t="n">
        <v>20000</v>
      </c>
      <c r="I73" s="6">
        <f>H73-G73</f>
        <v/>
      </c>
      <c r="J73" s="7">
        <f>I73/H73</f>
        <v/>
      </c>
    </row>
    <row r="74" ht="22" customHeight="1">
      <c r="A74" s="8" t="inlineStr">
        <is>
          <t>TE-ART-04</t>
        </is>
      </c>
      <c r="B74" s="8" t="inlineStr">
        <is>
          <t>Tea</t>
        </is>
      </c>
      <c r="C74" s="9" t="inlineStr">
        <is>
          <t>Pure Tea Artisan</t>
        </is>
      </c>
      <c r="D74" s="9" t="inlineStr">
        <is>
          <t>Genmaicha (Beras Panggang)</t>
        </is>
      </c>
      <c r="E74" s="9" t="inlineStr">
        <is>
          <t>Teh hijau dipadukan butiran beras cokelat panggang gurih</t>
        </is>
      </c>
      <c r="F74" s="8" t="inlineStr">
        <is>
          <t>Pot / Hot Cup</t>
        </is>
      </c>
      <c r="G74" s="10" t="n">
        <v>4500</v>
      </c>
      <c r="H74" s="10" t="n">
        <v>20000</v>
      </c>
      <c r="I74" s="10">
        <f>H74-G74</f>
        <v/>
      </c>
      <c r="J74" s="11">
        <f>I74/H74</f>
        <v/>
      </c>
    </row>
    <row r="75" ht="22" customHeight="1">
      <c r="A75" s="4" t="inlineStr">
        <is>
          <t>TE-ART-05</t>
        </is>
      </c>
      <c r="B75" s="4" t="inlineStr">
        <is>
          <t>Tea</t>
        </is>
      </c>
      <c r="C75" s="5" t="inlineStr">
        <is>
          <t>Pure Tea Artisan</t>
        </is>
      </c>
      <c r="D75" s="5" t="inlineStr">
        <is>
          <t>Hojicha Roasted Tea</t>
        </is>
      </c>
      <c r="E75" s="5" t="inlineStr">
        <is>
          <t>Teh hijau panggang berwarna karamel dengan aroma smoky</t>
        </is>
      </c>
      <c r="F75" s="4" t="inlineStr">
        <is>
          <t>Pot / Hot Cup</t>
        </is>
      </c>
      <c r="G75" s="6" t="n">
        <v>4500</v>
      </c>
      <c r="H75" s="6" t="n">
        <v>22000</v>
      </c>
      <c r="I75" s="6">
        <f>H75-G75</f>
        <v/>
      </c>
      <c r="J75" s="7">
        <f>I75/H75</f>
        <v/>
      </c>
    </row>
    <row r="76" ht="22" customHeight="1">
      <c r="A76" s="8" t="inlineStr">
        <is>
          <t>TE-ART-06</t>
        </is>
      </c>
      <c r="B76" s="8" t="inlineStr">
        <is>
          <t>Tea</t>
        </is>
      </c>
      <c r="C76" s="9" t="inlineStr">
        <is>
          <t>Pure Tea Artisan</t>
        </is>
      </c>
      <c r="D76" s="9" t="inlineStr">
        <is>
          <t>Oolong Tea Tie Guan Yin</t>
        </is>
      </c>
      <c r="E76" s="9" t="inlineStr">
        <is>
          <t>Teh oolong semi-fermentasi aroma bunga anggrek lembut</t>
        </is>
      </c>
      <c r="F76" s="8" t="inlineStr">
        <is>
          <t>Pot / Hot Cup</t>
        </is>
      </c>
      <c r="G76" s="10" t="n">
        <v>5000</v>
      </c>
      <c r="H76" s="10" t="n">
        <v>24000</v>
      </c>
      <c r="I76" s="10">
        <f>H76-G76</f>
        <v/>
      </c>
      <c r="J76" s="11">
        <f>I76/H76</f>
        <v/>
      </c>
    </row>
    <row r="77" ht="22" customHeight="1">
      <c r="A77" s="4" t="inlineStr">
        <is>
          <t>TE-ART-07</t>
        </is>
      </c>
      <c r="B77" s="4" t="inlineStr">
        <is>
          <t>Tea</t>
        </is>
      </c>
      <c r="C77" s="5" t="inlineStr">
        <is>
          <t>Pure Tea Artisan</t>
        </is>
      </c>
      <c r="D77" s="5" t="inlineStr">
        <is>
          <t>White Tea Silver Needle</t>
        </is>
      </c>
      <c r="E77" s="5" t="inlineStr">
        <is>
          <t>Teh putih pucuk jarum perak langka, tinggi antioksidan</t>
        </is>
      </c>
      <c r="F77" s="4" t="inlineStr">
        <is>
          <t>Pot / Hot Cup</t>
        </is>
      </c>
      <c r="G77" s="6" t="n">
        <v>7000</v>
      </c>
      <c r="H77" s="6" t="n">
        <v>30000</v>
      </c>
      <c r="I77" s="6">
        <f>H77-G77</f>
        <v/>
      </c>
      <c r="J77" s="7">
        <f>I77/H77</f>
        <v/>
      </c>
    </row>
    <row r="78" ht="22" customHeight="1">
      <c r="A78" s="8" t="inlineStr">
        <is>
          <t>TE-ART-08</t>
        </is>
      </c>
      <c r="B78" s="8" t="inlineStr">
        <is>
          <t>Tea</t>
        </is>
      </c>
      <c r="C78" s="9" t="inlineStr">
        <is>
          <t>Pure Tea Artisan</t>
        </is>
      </c>
      <c r="D78" s="9" t="inlineStr">
        <is>
          <t>Darjeeling First Flush</t>
        </is>
      </c>
      <c r="E78" s="9" t="inlineStr">
        <is>
          <t>Teh hitam pegunungan Himalaya dijuluki sampanye dunia teh</t>
        </is>
      </c>
      <c r="F78" s="8" t="inlineStr">
        <is>
          <t>Pot / Hot Cup</t>
        </is>
      </c>
      <c r="G78" s="10" t="n">
        <v>6500</v>
      </c>
      <c r="H78" s="10" t="n">
        <v>28000</v>
      </c>
      <c r="I78" s="10">
        <f>H78-G78</f>
        <v/>
      </c>
      <c r="J78" s="11">
        <f>I78/H78</f>
        <v/>
      </c>
    </row>
    <row r="79" ht="22" customHeight="1">
      <c r="A79" s="4" t="inlineStr">
        <is>
          <t>TE-MLK-01</t>
        </is>
      </c>
      <c r="B79" s="4" t="inlineStr">
        <is>
          <t>Tea</t>
        </is>
      </c>
      <c r="C79" s="5" t="inlineStr">
        <is>
          <t>Milk Tea Series</t>
        </is>
      </c>
      <c r="D79" s="5" t="inlineStr">
        <is>
          <t>Classic Milk Tea Brown Sugar</t>
        </is>
      </c>
      <c r="E79" s="5" t="inlineStr">
        <is>
          <t>Teh hitam pekat diseduh susu krimer dan brown sugar</t>
        </is>
      </c>
      <c r="F79" s="4" t="inlineStr">
        <is>
          <t>Cup 16oz / 22oz</t>
        </is>
      </c>
      <c r="G79" s="6" t="n">
        <v>5500</v>
      </c>
      <c r="H79" s="6" t="n">
        <v>18000</v>
      </c>
      <c r="I79" s="6">
        <f>H79-G79</f>
        <v/>
      </c>
      <c r="J79" s="7">
        <f>I79/H79</f>
        <v/>
      </c>
    </row>
    <row r="80" ht="22" customHeight="1">
      <c r="A80" s="8" t="inlineStr">
        <is>
          <t>TE-MLK-02</t>
        </is>
      </c>
      <c r="B80" s="8" t="inlineStr">
        <is>
          <t>Tea</t>
        </is>
      </c>
      <c r="C80" s="9" t="inlineStr">
        <is>
          <t>Milk Tea Series</t>
        </is>
      </c>
      <c r="D80" s="9" t="inlineStr">
        <is>
          <t>Earl Grey Milk Tea</t>
        </is>
      </c>
      <c r="E80" s="9" t="inlineStr">
        <is>
          <t>Teh Earl Grey harum sitrus berpadu susu lembut creamy</t>
        </is>
      </c>
      <c r="F80" s="8" t="inlineStr">
        <is>
          <t>Cup 16oz</t>
        </is>
      </c>
      <c r="G80" s="10" t="n">
        <v>6500</v>
      </c>
      <c r="H80" s="10" t="n">
        <v>20000</v>
      </c>
      <c r="I80" s="10">
        <f>H80-G80</f>
        <v/>
      </c>
      <c r="J80" s="11">
        <f>I80/H80</f>
        <v/>
      </c>
    </row>
    <row r="81" ht="22" customHeight="1">
      <c r="A81" s="4" t="inlineStr">
        <is>
          <t>TE-MLK-03</t>
        </is>
      </c>
      <c r="B81" s="4" t="inlineStr">
        <is>
          <t>Tea</t>
        </is>
      </c>
      <c r="C81" s="5" t="inlineStr">
        <is>
          <t>Milk Tea Series</t>
        </is>
      </c>
      <c r="D81" s="5" t="inlineStr">
        <is>
          <t>Thai Tea Original Cha Tra Mue</t>
        </is>
      </c>
      <c r="E81" s="5" t="inlineStr">
        <is>
          <t>Teh khas Thailand rempah pekat warna oranye susu manis</t>
        </is>
      </c>
      <c r="F81" s="4" t="inlineStr">
        <is>
          <t>Cup 16oz</t>
        </is>
      </c>
      <c r="G81" s="6" t="n">
        <v>5000</v>
      </c>
      <c r="H81" s="6" t="n">
        <v>16000</v>
      </c>
      <c r="I81" s="6">
        <f>H81-G81</f>
        <v/>
      </c>
      <c r="J81" s="7">
        <f>I81/H81</f>
        <v/>
      </c>
    </row>
    <row r="82" ht="22" customHeight="1">
      <c r="A82" s="8" t="inlineStr">
        <is>
          <t>TE-MLK-04</t>
        </is>
      </c>
      <c r="B82" s="8" t="inlineStr">
        <is>
          <t>Tea</t>
        </is>
      </c>
      <c r="C82" s="9" t="inlineStr">
        <is>
          <t>Milk Tea Series</t>
        </is>
      </c>
      <c r="D82" s="9" t="inlineStr">
        <is>
          <t>Thai Green Tea Latte</t>
        </is>
      </c>
      <c r="E82" s="9" t="inlineStr">
        <is>
          <t>Teh hijau aroma melati khas Thailand dengan susu kental</t>
        </is>
      </c>
      <c r="F82" s="8" t="inlineStr">
        <is>
          <t>Cup 16oz</t>
        </is>
      </c>
      <c r="G82" s="10" t="n">
        <v>5500</v>
      </c>
      <c r="H82" s="10" t="n">
        <v>16000</v>
      </c>
      <c r="I82" s="10">
        <f>H82-G82</f>
        <v/>
      </c>
      <c r="J82" s="11">
        <f>I82/H82</f>
        <v/>
      </c>
    </row>
    <row r="83" ht="22" customHeight="1">
      <c r="A83" s="4" t="inlineStr">
        <is>
          <t>TE-MLK-05</t>
        </is>
      </c>
      <c r="B83" s="4" t="inlineStr">
        <is>
          <t>Tea</t>
        </is>
      </c>
      <c r="C83" s="5" t="inlineStr">
        <is>
          <t>Milk Tea Series</t>
        </is>
      </c>
      <c r="D83" s="5" t="inlineStr">
        <is>
          <t>Matcha Latte Uji (Japanese)</t>
        </is>
      </c>
      <c r="E83" s="5" t="inlineStr">
        <is>
          <t>Bubuk matcha murni Jepang dikocok susu segar creamy</t>
        </is>
      </c>
      <c r="F83" s="4" t="inlineStr">
        <is>
          <t>Cup 16oz</t>
        </is>
      </c>
      <c r="G83" s="6" t="n">
        <v>8000</v>
      </c>
      <c r="H83" s="6" t="n">
        <v>24000</v>
      </c>
      <c r="I83" s="6">
        <f>H83-G83</f>
        <v/>
      </c>
      <c r="J83" s="7">
        <f>I83/H83</f>
        <v/>
      </c>
    </row>
    <row r="84" ht="22" customHeight="1">
      <c r="A84" s="8" t="inlineStr">
        <is>
          <t>TE-MLK-06</t>
        </is>
      </c>
      <c r="B84" s="8" t="inlineStr">
        <is>
          <t>Tea</t>
        </is>
      </c>
      <c r="C84" s="9" t="inlineStr">
        <is>
          <t>Milk Tea Series</t>
        </is>
      </c>
      <c r="D84" s="9" t="inlineStr">
        <is>
          <t>Hojicha Latte</t>
        </is>
      </c>
      <c r="E84" s="9" t="inlineStr">
        <is>
          <t>Bubuk teh hijau sangrai jepang dipadu steamed milk</t>
        </is>
      </c>
      <c r="F84" s="8" t="inlineStr">
        <is>
          <t>Cup 16oz</t>
        </is>
      </c>
      <c r="G84" s="10" t="n">
        <v>8000</v>
      </c>
      <c r="H84" s="10" t="n">
        <v>24000</v>
      </c>
      <c r="I84" s="10">
        <f>H84-G84</f>
        <v/>
      </c>
      <c r="J84" s="11">
        <f>I84/H84</f>
        <v/>
      </c>
    </row>
    <row r="85" ht="22" customHeight="1">
      <c r="A85" s="4" t="inlineStr">
        <is>
          <t>TE-MLK-07</t>
        </is>
      </c>
      <c r="B85" s="4" t="inlineStr">
        <is>
          <t>Tea</t>
        </is>
      </c>
      <c r="C85" s="5" t="inlineStr">
        <is>
          <t>Milk Tea Series</t>
        </is>
      </c>
      <c r="D85" s="5" t="inlineStr">
        <is>
          <t>Oolong Milk Tea</t>
        </is>
      </c>
      <c r="E85" s="5" t="inlineStr">
        <is>
          <t>Teh oolong aroma panggang dipadu racikan fresh milk</t>
        </is>
      </c>
      <c r="F85" s="4" t="inlineStr">
        <is>
          <t>Cup 16oz</t>
        </is>
      </c>
      <c r="G85" s="6" t="n">
        <v>6500</v>
      </c>
      <c r="H85" s="6" t="n">
        <v>20000</v>
      </c>
      <c r="I85" s="6">
        <f>H85-G85</f>
        <v/>
      </c>
      <c r="J85" s="7">
        <f>I85/H85</f>
        <v/>
      </c>
    </row>
    <row r="86" ht="22" customHeight="1">
      <c r="A86" s="8" t="inlineStr">
        <is>
          <t>TE-MLK-08</t>
        </is>
      </c>
      <c r="B86" s="8" t="inlineStr">
        <is>
          <t>Tea</t>
        </is>
      </c>
      <c r="C86" s="9" t="inlineStr">
        <is>
          <t>Milk Tea Series</t>
        </is>
      </c>
      <c r="D86" s="9" t="inlineStr">
        <is>
          <t>Taro Milk Tea</t>
        </is>
      </c>
      <c r="E86" s="9" t="inlineStr">
        <is>
          <t>Ekstrak talas ungu lembut dipadu teh susu creamy</t>
        </is>
      </c>
      <c r="F86" s="8" t="inlineStr">
        <is>
          <t>Cup 16oz</t>
        </is>
      </c>
      <c r="G86" s="10" t="n">
        <v>6500</v>
      </c>
      <c r="H86" s="10" t="n">
        <v>18000</v>
      </c>
      <c r="I86" s="10">
        <f>H86-G86</f>
        <v/>
      </c>
      <c r="J86" s="11">
        <f>I86/H86</f>
        <v/>
      </c>
    </row>
    <row r="87" ht="22" customHeight="1">
      <c r="A87" s="4" t="inlineStr">
        <is>
          <t>TE-MLK-09</t>
        </is>
      </c>
      <c r="B87" s="4" t="inlineStr">
        <is>
          <t>Tea</t>
        </is>
      </c>
      <c r="C87" s="5" t="inlineStr">
        <is>
          <t>Milk Tea Series</t>
        </is>
      </c>
      <c r="D87" s="5" t="inlineStr">
        <is>
          <t>Jasmine Green Milk Tea</t>
        </is>
      </c>
      <c r="E87" s="5" t="inlineStr">
        <is>
          <t>Teh hijau melati wangi dipadu susu segar ringan</t>
        </is>
      </c>
      <c r="F87" s="4" t="inlineStr">
        <is>
          <t>Cup 16oz</t>
        </is>
      </c>
      <c r="G87" s="6" t="n">
        <v>6000</v>
      </c>
      <c r="H87" s="6" t="n">
        <v>18000</v>
      </c>
      <c r="I87" s="6">
        <f>H87-G87</f>
        <v/>
      </c>
      <c r="J87" s="7">
        <f>I87/H87</f>
        <v/>
      </c>
    </row>
    <row r="88" ht="22" customHeight="1">
      <c r="A88" s="8" t="inlineStr">
        <is>
          <t>TE-FRT-01</t>
        </is>
      </c>
      <c r="B88" s="8" t="inlineStr">
        <is>
          <t>Tea</t>
        </is>
      </c>
      <c r="C88" s="9" t="inlineStr">
        <is>
          <t>Fruit Tea</t>
        </is>
      </c>
      <c r="D88" s="9" t="inlineStr">
        <is>
          <t>Fresh Lemon Tea</t>
        </is>
      </c>
      <c r="E88" s="9" t="inlineStr">
        <is>
          <t>Teh melati/hitam dengan perasan lemon asli dan irisan buah</t>
        </is>
      </c>
      <c r="F88" s="8" t="inlineStr">
        <is>
          <t>Cup 16oz</t>
        </is>
      </c>
      <c r="G88" s="10" t="n">
        <v>3500</v>
      </c>
      <c r="H88" s="10" t="n">
        <v>14000</v>
      </c>
      <c r="I88" s="10">
        <f>H88-G88</f>
        <v/>
      </c>
      <c r="J88" s="11">
        <f>I88/H88</f>
        <v/>
      </c>
    </row>
    <row r="89" ht="22" customHeight="1">
      <c r="A89" s="4" t="inlineStr">
        <is>
          <t>TE-FRT-02</t>
        </is>
      </c>
      <c r="B89" s="4" t="inlineStr">
        <is>
          <t>Tea</t>
        </is>
      </c>
      <c r="C89" s="5" t="inlineStr">
        <is>
          <t>Fruit Tea</t>
        </is>
      </c>
      <c r="D89" s="5" t="inlineStr">
        <is>
          <t>Lychee Iced Tea</t>
        </is>
      </c>
      <c r="E89" s="5" t="inlineStr">
        <is>
          <t>Teh wangi dengan sirup leci dan 2 butir buah leci utuh</t>
        </is>
      </c>
      <c r="F89" s="4" t="inlineStr">
        <is>
          <t>Cup 16oz</t>
        </is>
      </c>
      <c r="G89" s="6" t="n">
        <v>5500</v>
      </c>
      <c r="H89" s="6" t="n">
        <v>18000</v>
      </c>
      <c r="I89" s="6">
        <f>H89-G89</f>
        <v/>
      </c>
      <c r="J89" s="7">
        <f>I89/H89</f>
        <v/>
      </c>
    </row>
    <row r="90" ht="22" customHeight="1">
      <c r="A90" s="8" t="inlineStr">
        <is>
          <t>TE-FRT-03</t>
        </is>
      </c>
      <c r="B90" s="8" t="inlineStr">
        <is>
          <t>Tea</t>
        </is>
      </c>
      <c r="C90" s="9" t="inlineStr">
        <is>
          <t>Fruit Tea</t>
        </is>
      </c>
      <c r="D90" s="9" t="inlineStr">
        <is>
          <t>Peach Blossom Tea</t>
        </is>
      </c>
      <c r="E90" s="9" t="inlineStr">
        <is>
          <t>Teh hitam dipadu sari buah persik manis segar</t>
        </is>
      </c>
      <c r="F90" s="8" t="inlineStr">
        <is>
          <t>Cup 16oz</t>
        </is>
      </c>
      <c r="G90" s="10" t="n">
        <v>5000</v>
      </c>
      <c r="H90" s="10" t="n">
        <v>18000</v>
      </c>
      <c r="I90" s="10">
        <f>H90-G90</f>
        <v/>
      </c>
      <c r="J90" s="11">
        <f>I90/H90</f>
        <v/>
      </c>
    </row>
    <row r="91" ht="22" customHeight="1">
      <c r="A91" s="4" t="inlineStr">
        <is>
          <t>TE-FRT-04</t>
        </is>
      </c>
      <c r="B91" s="4" t="inlineStr">
        <is>
          <t>Tea</t>
        </is>
      </c>
      <c r="C91" s="5" t="inlineStr">
        <is>
          <t>Fruit Tea</t>
        </is>
      </c>
      <c r="D91" s="5" t="inlineStr">
        <is>
          <t>Passion Fruit (Markisa) Tea</t>
        </is>
      </c>
      <c r="E91" s="5" t="inlineStr">
        <is>
          <t>Teh hijau segar dengan bulir biji dan sari markisa asli</t>
        </is>
      </c>
      <c r="F91" s="4" t="inlineStr">
        <is>
          <t>Cup 16oz</t>
        </is>
      </c>
      <c r="G91" s="6" t="n">
        <v>4500</v>
      </c>
      <c r="H91" s="6" t="n">
        <v>16000</v>
      </c>
      <c r="I91" s="6">
        <f>H91-G91</f>
        <v/>
      </c>
      <c r="J91" s="7">
        <f>I91/H91</f>
        <v/>
      </c>
    </row>
    <row r="92" ht="22" customHeight="1">
      <c r="A92" s="8" t="inlineStr">
        <is>
          <t>TE-FRT-05</t>
        </is>
      </c>
      <c r="B92" s="8" t="inlineStr">
        <is>
          <t>Tea</t>
        </is>
      </c>
      <c r="C92" s="9" t="inlineStr">
        <is>
          <t>Fruit Tea</t>
        </is>
      </c>
      <c r="D92" s="9" t="inlineStr">
        <is>
          <t>Mango Jasmine Green Tea</t>
        </is>
      </c>
      <c r="E92" s="9" t="inlineStr">
        <is>
          <t>Teh hijau melati dipadu puree buah mangga manis</t>
        </is>
      </c>
      <c r="F92" s="8" t="inlineStr">
        <is>
          <t>Cup 16oz</t>
        </is>
      </c>
      <c r="G92" s="10" t="n">
        <v>5000</v>
      </c>
      <c r="H92" s="10" t="n">
        <v>18000</v>
      </c>
      <c r="I92" s="10">
        <f>H92-G92</f>
        <v/>
      </c>
      <c r="J92" s="11">
        <f>I92/H92</f>
        <v/>
      </c>
    </row>
    <row r="93" ht="22" customHeight="1">
      <c r="A93" s="4" t="inlineStr">
        <is>
          <t>TE-FRT-06</t>
        </is>
      </c>
      <c r="B93" s="4" t="inlineStr">
        <is>
          <t>Tea</t>
        </is>
      </c>
      <c r="C93" s="5" t="inlineStr">
        <is>
          <t>Fruit Tea</t>
        </is>
      </c>
      <c r="D93" s="5" t="inlineStr">
        <is>
          <t>Strawberry Mint Tea</t>
        </is>
      </c>
      <c r="E93" s="5" t="inlineStr">
        <is>
          <t>Teh dingin diseduh potongan stroberi segar dan daun mint</t>
        </is>
      </c>
      <c r="F93" s="4" t="inlineStr">
        <is>
          <t>Cup 16oz</t>
        </is>
      </c>
      <c r="G93" s="6" t="n">
        <v>6000</v>
      </c>
      <c r="H93" s="6" t="n">
        <v>20000</v>
      </c>
      <c r="I93" s="6">
        <f>H93-G93</f>
        <v/>
      </c>
      <c r="J93" s="7">
        <f>I93/H93</f>
        <v/>
      </c>
    </row>
    <row r="94" ht="22" customHeight="1">
      <c r="A94" s="8" t="inlineStr">
        <is>
          <t>TE-FRT-07</t>
        </is>
      </c>
      <c r="B94" s="8" t="inlineStr">
        <is>
          <t>Tea</t>
        </is>
      </c>
      <c r="C94" s="9" t="inlineStr">
        <is>
          <t>Fruit Tea</t>
        </is>
      </c>
      <c r="D94" s="9" t="inlineStr">
        <is>
          <t>Apple Cinnamon Tea</t>
        </is>
      </c>
      <c r="E94" s="9" t="inlineStr">
        <is>
          <t>Teh hitam rasa buah apel merah segar dengan taburan kayu manis</t>
        </is>
      </c>
      <c r="F94" s="8" t="inlineStr">
        <is>
          <t>Cup 16oz</t>
        </is>
      </c>
      <c r="G94" s="10" t="n">
        <v>5000</v>
      </c>
      <c r="H94" s="10" t="n">
        <v>18000</v>
      </c>
      <c r="I94" s="10">
        <f>H94-G94</f>
        <v/>
      </c>
      <c r="J94" s="11">
        <f>I94/H94</f>
        <v/>
      </c>
    </row>
    <row r="95" ht="22" customHeight="1">
      <c r="A95" s="4" t="inlineStr">
        <is>
          <t>TE-FRT-08</t>
        </is>
      </c>
      <c r="B95" s="4" t="inlineStr">
        <is>
          <t>Tea</t>
        </is>
      </c>
      <c r="C95" s="5" t="inlineStr">
        <is>
          <t>Fruit Tea</t>
        </is>
      </c>
      <c r="D95" s="5" t="inlineStr">
        <is>
          <t>Yuzu Honey Green Tea</t>
        </is>
      </c>
      <c r="E95" s="5" t="inlineStr">
        <is>
          <t>Teh hijau diseduh selai jeruk sitrun yuzu dan madu murni</t>
        </is>
      </c>
      <c r="F95" s="4" t="inlineStr">
        <is>
          <t>Cup 16oz</t>
        </is>
      </c>
      <c r="G95" s="6" t="n">
        <v>7000</v>
      </c>
      <c r="H95" s="6" t="n">
        <v>22000</v>
      </c>
      <c r="I95" s="6">
        <f>H95-G95</f>
        <v/>
      </c>
      <c r="J95" s="7">
        <f>I95/H95</f>
        <v/>
      </c>
    </row>
    <row r="96" ht="22" customHeight="1">
      <c r="A96" s="8" t="inlineStr">
        <is>
          <t>TE-TSN-01</t>
        </is>
      </c>
      <c r="B96" s="8" t="inlineStr">
        <is>
          <t>Tea</t>
        </is>
      </c>
      <c r="C96" s="9" t="inlineStr">
        <is>
          <t>Herbal &amp; Tisane</t>
        </is>
      </c>
      <c r="D96" s="9" t="inlineStr">
        <is>
          <t>Pure Chamomile Blossom</t>
        </is>
      </c>
      <c r="E96" s="9" t="inlineStr">
        <is>
          <t>Seduhan bunga kamomil utuh berkhasiat menenangkan tidur</t>
        </is>
      </c>
      <c r="F96" s="8" t="inlineStr">
        <is>
          <t>Hot Pot / Cup</t>
        </is>
      </c>
      <c r="G96" s="10" t="n">
        <v>4000</v>
      </c>
      <c r="H96" s="10" t="n">
        <v>18000</v>
      </c>
      <c r="I96" s="10">
        <f>H96-G96</f>
        <v/>
      </c>
      <c r="J96" s="11">
        <f>I96/H96</f>
        <v/>
      </c>
    </row>
    <row r="97" ht="22" customHeight="1">
      <c r="A97" s="4" t="inlineStr">
        <is>
          <t>TE-TSN-02</t>
        </is>
      </c>
      <c r="B97" s="4" t="inlineStr">
        <is>
          <t>Tea</t>
        </is>
      </c>
      <c r="C97" s="5" t="inlineStr">
        <is>
          <t>Herbal &amp; Tisane</t>
        </is>
      </c>
      <c r="D97" s="5" t="inlineStr">
        <is>
          <t>Peppermint Herbal Tea</t>
        </is>
      </c>
      <c r="E97" s="5" t="inlineStr">
        <is>
          <t>Seduhan daun peppermint kering segar melegakan tenggorokan</t>
        </is>
      </c>
      <c r="F97" s="4" t="inlineStr">
        <is>
          <t>Hot Pot / Cup</t>
        </is>
      </c>
      <c r="G97" s="6" t="n">
        <v>3500</v>
      </c>
      <c r="H97" s="6" t="n">
        <v>16000</v>
      </c>
      <c r="I97" s="6">
        <f>H97-G97</f>
        <v/>
      </c>
      <c r="J97" s="7">
        <f>I97/H97</f>
        <v/>
      </c>
    </row>
    <row r="98" ht="22" customHeight="1">
      <c r="A98" s="8" t="inlineStr">
        <is>
          <t>TE-TSN-03</t>
        </is>
      </c>
      <c r="B98" s="8" t="inlineStr">
        <is>
          <t>Tea</t>
        </is>
      </c>
      <c r="C98" s="9" t="inlineStr">
        <is>
          <t>Herbal &amp; Tisane</t>
        </is>
      </c>
      <c r="D98" s="9" t="inlineStr">
        <is>
          <t>Hibiscus Rosella Red Tea</t>
        </is>
      </c>
      <c r="E98" s="9" t="inlineStr">
        <is>
          <t>Bunga rosella merah pekat rasa asam segar tinggi vitamin C</t>
        </is>
      </c>
      <c r="F98" s="8" t="inlineStr">
        <is>
          <t>Hot / Iced 300ml</t>
        </is>
      </c>
      <c r="G98" s="10" t="n">
        <v>3000</v>
      </c>
      <c r="H98" s="10" t="n">
        <v>15000</v>
      </c>
      <c r="I98" s="10">
        <f>H98-G98</f>
        <v/>
      </c>
      <c r="J98" s="11">
        <f>I98/H98</f>
        <v/>
      </c>
    </row>
    <row r="99" ht="22" customHeight="1">
      <c r="A99" s="4" t="inlineStr">
        <is>
          <t>TE-TSN-04</t>
        </is>
      </c>
      <c r="B99" s="4" t="inlineStr">
        <is>
          <t>Tea</t>
        </is>
      </c>
      <c r="C99" s="5" t="inlineStr">
        <is>
          <t>Herbal &amp; Tisane</t>
        </is>
      </c>
      <c r="D99" s="5" t="inlineStr">
        <is>
          <t>Telang Lemon Tea (Butterfly Pea)</t>
        </is>
      </c>
      <c r="E99" s="5" t="inlineStr">
        <is>
          <t>Bunga telang biru berubah ungu alami saat diberi jeruk lemon</t>
        </is>
      </c>
      <c r="F99" s="4" t="inlineStr">
        <is>
          <t>Cup 16oz</t>
        </is>
      </c>
      <c r="G99" s="6" t="n">
        <v>3500</v>
      </c>
      <c r="H99" s="6" t="n">
        <v>16000</v>
      </c>
      <c r="I99" s="6">
        <f>H99-G99</f>
        <v/>
      </c>
      <c r="J99" s="7">
        <f>I99/H99</f>
        <v/>
      </c>
    </row>
    <row r="100" ht="22" customHeight="1">
      <c r="A100" s="8" t="inlineStr">
        <is>
          <t>TE-TSN-05</t>
        </is>
      </c>
      <c r="B100" s="8" t="inlineStr">
        <is>
          <t>Tea</t>
        </is>
      </c>
      <c r="C100" s="9" t="inlineStr">
        <is>
          <t>Herbal &amp; Tisane</t>
        </is>
      </c>
      <c r="D100" s="9" t="inlineStr">
        <is>
          <t>Rooibos Red Bush Tea</t>
        </is>
      </c>
      <c r="E100" s="9" t="inlineStr">
        <is>
          <t>Tisane herba bebas kafein asal Afrika Selatan kaya antioksidan</t>
        </is>
      </c>
      <c r="F100" s="8" t="inlineStr">
        <is>
          <t>Hot Pot / Cup</t>
        </is>
      </c>
      <c r="G100" s="10" t="n">
        <v>4500</v>
      </c>
      <c r="H100" s="10" t="n">
        <v>20000</v>
      </c>
      <c r="I100" s="10">
        <f>H100-G100</f>
        <v/>
      </c>
      <c r="J100" s="11">
        <f>I100/H100</f>
        <v/>
      </c>
    </row>
    <row r="101" ht="22" customHeight="1">
      <c r="A101" s="4" t="inlineStr">
        <is>
          <t>TE-TSN-06</t>
        </is>
      </c>
      <c r="B101" s="4" t="inlineStr">
        <is>
          <t>Tea</t>
        </is>
      </c>
      <c r="C101" s="5" t="inlineStr">
        <is>
          <t>Herbal &amp; Tisane</t>
        </is>
      </c>
      <c r="D101" s="5" t="inlineStr">
        <is>
          <t>Lavender Bliss Tisane</t>
        </is>
      </c>
      <c r="E101" s="5" t="inlineStr">
        <is>
          <t>Seduhan kuntum bunga lavender aroma terapi relaksasi</t>
        </is>
      </c>
      <c r="F101" s="4" t="inlineStr">
        <is>
          <t>Hot Pot / Cup</t>
        </is>
      </c>
      <c r="G101" s="6" t="n">
        <v>5000</v>
      </c>
      <c r="H101" s="6" t="n">
        <v>22000</v>
      </c>
      <c r="I101" s="6">
        <f>H101-G101</f>
        <v/>
      </c>
      <c r="J101" s="7">
        <f>I101/H101</f>
        <v/>
      </c>
    </row>
    <row r="102" ht="22" customHeight="1">
      <c r="A102" s="8" t="inlineStr">
        <is>
          <t>TE-TSN-07</t>
        </is>
      </c>
      <c r="B102" s="8" t="inlineStr">
        <is>
          <t>Tea</t>
        </is>
      </c>
      <c r="C102" s="9" t="inlineStr">
        <is>
          <t>Herbal &amp; Tisane</t>
        </is>
      </c>
      <c r="D102" s="9" t="inlineStr">
        <is>
          <t>Chrysanthemum Tea (Bunga Krisan)</t>
        </is>
      </c>
      <c r="E102" s="9" t="inlineStr">
        <is>
          <t>Seduhan bunga krisan kuning pereda panas dalam tradisional</t>
        </is>
      </c>
      <c r="F102" s="8" t="inlineStr">
        <is>
          <t>Hot Pot / Cup</t>
        </is>
      </c>
      <c r="G102" s="10" t="n">
        <v>3500</v>
      </c>
      <c r="H102" s="10" t="n">
        <v>16000</v>
      </c>
      <c r="I102" s="10">
        <f>H102-G102</f>
        <v/>
      </c>
      <c r="J102" s="11">
        <f>I102/H102</f>
        <v/>
      </c>
    </row>
    <row r="103" ht="22" customHeight="1">
      <c r="A103" s="4" t="inlineStr">
        <is>
          <t>TE-MOD-01</t>
        </is>
      </c>
      <c r="B103" s="4" t="inlineStr">
        <is>
          <t>Tea</t>
        </is>
      </c>
      <c r="C103" s="5" t="inlineStr">
        <is>
          <t>Cheese Tea &amp; Mocktail</t>
        </is>
      </c>
      <c r="D103" s="5" t="inlineStr">
        <is>
          <t>Cheese Green Tea Jasmine</t>
        </is>
      </c>
      <c r="E103" s="5" t="inlineStr">
        <is>
          <t>Teh hijau melati dingin dilapisi krim keju asin gurih tebal</t>
        </is>
      </c>
      <c r="F103" s="4" t="inlineStr">
        <is>
          <t>Cup 16oz</t>
        </is>
      </c>
      <c r="G103" s="6" t="n">
        <v>6500</v>
      </c>
      <c r="H103" s="6" t="n">
        <v>22000</v>
      </c>
      <c r="I103" s="6">
        <f>H103-G103</f>
        <v/>
      </c>
      <c r="J103" s="7">
        <f>I103/H103</f>
        <v/>
      </c>
    </row>
    <row r="104" ht="22" customHeight="1">
      <c r="A104" s="8" t="inlineStr">
        <is>
          <t>TE-MOD-02</t>
        </is>
      </c>
      <c r="B104" s="8" t="inlineStr">
        <is>
          <t>Tea</t>
        </is>
      </c>
      <c r="C104" s="9" t="inlineStr">
        <is>
          <t>Cheese Tea &amp; Mocktail</t>
        </is>
      </c>
      <c r="D104" s="9" t="inlineStr">
        <is>
          <t>Cheese Black Tea Macchiato</t>
        </is>
      </c>
      <c r="E104" s="9" t="inlineStr">
        <is>
          <t>Teh hitam manis dingin dengan topping foam keju mascarpone</t>
        </is>
      </c>
      <c r="F104" s="8" t="inlineStr">
        <is>
          <t>Cup 16oz</t>
        </is>
      </c>
      <c r="G104" s="10" t="n">
        <v>6500</v>
      </c>
      <c r="H104" s="10" t="n">
        <v>22000</v>
      </c>
      <c r="I104" s="10">
        <f>H104-G104</f>
        <v/>
      </c>
      <c r="J104" s="11">
        <f>I104/H104</f>
        <v/>
      </c>
    </row>
    <row r="105" ht="22" customHeight="1">
      <c r="A105" s="4" t="inlineStr">
        <is>
          <t>TE-MOD-03</t>
        </is>
      </c>
      <c r="B105" s="4" t="inlineStr">
        <is>
          <t>Tea</t>
        </is>
      </c>
      <c r="C105" s="5" t="inlineStr">
        <is>
          <t>Cheese Tea &amp; Mocktail</t>
        </is>
      </c>
      <c r="D105" s="5" t="inlineStr">
        <is>
          <t>Sparkling Lychee Tea Soda</t>
        </is>
      </c>
      <c r="E105" s="5" t="inlineStr">
        <is>
          <t>Teh leci dipadukan air soda berkarbonasi dan daun mint</t>
        </is>
      </c>
      <c r="F105" s="4" t="inlineStr">
        <is>
          <t>Cup 16oz</t>
        </is>
      </c>
      <c r="G105" s="6" t="n">
        <v>6000</v>
      </c>
      <c r="H105" s="6" t="n">
        <v>20000</v>
      </c>
      <c r="I105" s="6">
        <f>H105-G105</f>
        <v/>
      </c>
      <c r="J105" s="7">
        <f>I105/H105</f>
        <v/>
      </c>
    </row>
    <row r="106" ht="22" customHeight="1">
      <c r="A106" s="8" t="inlineStr">
        <is>
          <t>TE-MOD-04</t>
        </is>
      </c>
      <c r="B106" s="8" t="inlineStr">
        <is>
          <t>Tea</t>
        </is>
      </c>
      <c r="C106" s="9" t="inlineStr">
        <is>
          <t>Cheese Tea &amp; Mocktail</t>
        </is>
      </c>
      <c r="D106" s="9" t="inlineStr">
        <is>
          <t>Hibiscus Berry Cooler</t>
        </is>
      </c>
      <c r="E106" s="9" t="inlineStr">
        <is>
          <t>Teh rosella merah, soda, sirup raspberry dan irisan jeruk nipis</t>
        </is>
      </c>
      <c r="F106" s="8" t="inlineStr">
        <is>
          <t>Cup 16oz</t>
        </is>
      </c>
      <c r="G106" s="10" t="n">
        <v>6500</v>
      </c>
      <c r="H106" s="10" t="n">
        <v>22000</v>
      </c>
      <c r="I106" s="10">
        <f>H106-G106</f>
        <v/>
      </c>
      <c r="J106" s="11">
        <f>I106/H106</f>
        <v/>
      </c>
    </row>
    <row r="107" ht="22" customHeight="1">
      <c r="A107" s="4" t="inlineStr">
        <is>
          <t>TE-MOD-05</t>
        </is>
      </c>
      <c r="B107" s="4" t="inlineStr">
        <is>
          <t>Tea</t>
        </is>
      </c>
      <c r="C107" s="5" t="inlineStr">
        <is>
          <t>Cheese Tea &amp; Mocktail</t>
        </is>
      </c>
      <c r="D107" s="5" t="inlineStr">
        <is>
          <t>Earl Grey Grapefruit Sparkler</t>
        </is>
      </c>
      <c r="E107" s="5" t="inlineStr">
        <is>
          <t>Seduhan Earl Grey dengan sirup jeruk bali merah &amp; soda</t>
        </is>
      </c>
      <c r="F107" s="4" t="inlineStr">
        <is>
          <t>Cup 16oz</t>
        </is>
      </c>
      <c r="G107" s="6" t="n">
        <v>7000</v>
      </c>
      <c r="H107" s="6" t="n">
        <v>24000</v>
      </c>
      <c r="I107" s="6">
        <f>H107-G107</f>
        <v/>
      </c>
      <c r="J107" s="7">
        <f>I107/H107</f>
        <v/>
      </c>
    </row>
    <row r="108" ht="22" customHeight="1">
      <c r="A108" s="8" t="inlineStr">
        <is>
          <t>TOP-01</t>
        </is>
      </c>
      <c r="B108" s="8" t="inlineStr">
        <is>
          <t>Add-on</t>
        </is>
      </c>
      <c r="C108" s="9" t="inlineStr">
        <is>
          <t>Topping Minuman</t>
        </is>
      </c>
      <c r="D108" s="9" t="inlineStr">
        <is>
          <t>Boba Brown Sugar (Tapioca)</t>
        </is>
      </c>
      <c r="E108" s="9" t="inlineStr">
        <is>
          <t>Mutiara tapioka kenyal dimasak sirup aren hitam</t>
        </is>
      </c>
      <c r="F108" s="8" t="inlineStr">
        <is>
          <t>1 Porsi (30g)</t>
        </is>
      </c>
      <c r="G108" s="10" t="n">
        <v>1500</v>
      </c>
      <c r="H108" s="10" t="n">
        <v>4000</v>
      </c>
      <c r="I108" s="10">
        <f>H108-G108</f>
        <v/>
      </c>
      <c r="J108" s="11">
        <f>I108/H108</f>
        <v/>
      </c>
    </row>
    <row r="109" ht="22" customHeight="1">
      <c r="A109" s="4" t="inlineStr">
        <is>
          <t>TOP-02</t>
        </is>
      </c>
      <c r="B109" s="4" t="inlineStr">
        <is>
          <t>Add-on</t>
        </is>
      </c>
      <c r="C109" s="5" t="inlineStr">
        <is>
          <t>Topping Minuman</t>
        </is>
      </c>
      <c r="D109" s="5" t="inlineStr">
        <is>
          <t>Grass Jelly (Cincau Hitam)</t>
        </is>
      </c>
      <c r="E109" s="5" t="inlineStr">
        <is>
          <t>Cincau hitam potong dadu kenyal dan segar</t>
        </is>
      </c>
      <c r="F109" s="4" t="inlineStr">
        <is>
          <t>1 Porsi (40g)</t>
        </is>
      </c>
      <c r="G109" s="6" t="n">
        <v>1200</v>
      </c>
      <c r="H109" s="6" t="n">
        <v>4000</v>
      </c>
      <c r="I109" s="6">
        <f>H109-G109</f>
        <v/>
      </c>
      <c r="J109" s="7">
        <f>I109/H109</f>
        <v/>
      </c>
    </row>
    <row r="110" ht="22" customHeight="1">
      <c r="A110" s="8" t="inlineStr">
        <is>
          <t>TOP-03</t>
        </is>
      </c>
      <c r="B110" s="8" t="inlineStr">
        <is>
          <t>Add-on</t>
        </is>
      </c>
      <c r="C110" s="9" t="inlineStr">
        <is>
          <t>Topping Minuman</t>
        </is>
      </c>
      <c r="D110" s="9" t="inlineStr">
        <is>
          <t>Egg Pudding Sutra</t>
        </is>
      </c>
      <c r="E110" s="9" t="inlineStr">
        <is>
          <t>Puding telur lembut manis khas minuman kekinian</t>
        </is>
      </c>
      <c r="F110" s="8" t="inlineStr">
        <is>
          <t>1 Porsi (40g)</t>
        </is>
      </c>
      <c r="G110" s="10" t="n">
        <v>1800</v>
      </c>
      <c r="H110" s="10" t="n">
        <v>5000</v>
      </c>
      <c r="I110" s="10">
        <f>H110-G110</f>
        <v/>
      </c>
      <c r="J110" s="11">
        <f>I110/H110</f>
        <v/>
      </c>
    </row>
    <row r="111" ht="22" customHeight="1">
      <c r="A111" s="4" t="inlineStr">
        <is>
          <t>TOP-04</t>
        </is>
      </c>
      <c r="B111" s="4" t="inlineStr">
        <is>
          <t>Add-on</t>
        </is>
      </c>
      <c r="C111" s="5" t="inlineStr">
        <is>
          <t>Topping Minuman</t>
        </is>
      </c>
      <c r="D111" s="5" t="inlineStr">
        <is>
          <t>Aloe Vera (Lidah Buaya)</t>
        </is>
      </c>
      <c r="E111" s="5" t="inlineStr">
        <is>
          <t>Potongan daging lidah buaya renyah manis</t>
        </is>
      </c>
      <c r="F111" s="4" t="inlineStr">
        <is>
          <t>1 Porsi (30g)</t>
        </is>
      </c>
      <c r="G111" s="6" t="n">
        <v>2000</v>
      </c>
      <c r="H111" s="6" t="n">
        <v>5000</v>
      </c>
      <c r="I111" s="6">
        <f>H111-G111</f>
        <v/>
      </c>
      <c r="J111" s="7">
        <f>I111/H111</f>
        <v/>
      </c>
    </row>
    <row r="112" ht="22" customHeight="1">
      <c r="A112" s="8" t="inlineStr">
        <is>
          <t>TOP-05</t>
        </is>
      </c>
      <c r="B112" s="8" t="inlineStr">
        <is>
          <t>Add-on</t>
        </is>
      </c>
      <c r="C112" s="9" t="inlineStr">
        <is>
          <t>Topping Minuman</t>
        </is>
      </c>
      <c r="D112" s="9" t="inlineStr">
        <is>
          <t>Popping Boba Lychee/Mango</t>
        </is>
      </c>
      <c r="E112" s="9" t="inlineStr">
        <is>
          <t>Boba yang meletup di mulut mengeluarkan sari buah</t>
        </is>
      </c>
      <c r="F112" s="8" t="inlineStr">
        <is>
          <t>1 Porsi (25g)</t>
        </is>
      </c>
      <c r="G112" s="10" t="n">
        <v>2200</v>
      </c>
      <c r="H112" s="10" t="n">
        <v>5000</v>
      </c>
      <c r="I112" s="10">
        <f>H112-G112</f>
        <v/>
      </c>
      <c r="J112" s="11">
        <f>I112/H112</f>
        <v/>
      </c>
    </row>
    <row r="113" ht="22" customHeight="1">
      <c r="A113" s="4" t="inlineStr">
        <is>
          <t>TOP-06</t>
        </is>
      </c>
      <c r="B113" s="4" t="inlineStr">
        <is>
          <t>Add-on</t>
        </is>
      </c>
      <c r="C113" s="5" t="inlineStr">
        <is>
          <t>Topping Minuman</t>
        </is>
      </c>
      <c r="D113" s="5" t="inlineStr">
        <is>
          <t>Cheese Foam Salty Cream</t>
        </is>
      </c>
      <c r="E113" s="5" t="inlineStr">
        <is>
          <t>Krim keju gurih kental dibuat dari cream cheese murni</t>
        </is>
      </c>
      <c r="F113" s="4" t="inlineStr">
        <is>
          <t>1 Layer (50ml)</t>
        </is>
      </c>
      <c r="G113" s="6" t="n">
        <v>2500</v>
      </c>
      <c r="H113" s="6" t="n">
        <v>6000</v>
      </c>
      <c r="I113" s="6">
        <f>H113-G113</f>
        <v/>
      </c>
      <c r="J113" s="7">
        <f>I113/H113</f>
        <v/>
      </c>
    </row>
    <row r="114" ht="22" customHeight="1">
      <c r="A114" s="8" t="inlineStr">
        <is>
          <t>TOP-07</t>
        </is>
      </c>
      <c r="B114" s="8" t="inlineStr">
        <is>
          <t>Add-on</t>
        </is>
      </c>
      <c r="C114" s="9" t="inlineStr">
        <is>
          <t>Topping Minuman</t>
        </is>
      </c>
      <c r="D114" s="9" t="inlineStr">
        <is>
          <t>Extra Espresso Shot</t>
        </is>
      </c>
      <c r="E114" s="9" t="inlineStr">
        <is>
          <t>Tambahan 1 shot espresso pekat (Robusta/Arabika)</t>
        </is>
      </c>
      <c r="F114" s="8" t="inlineStr">
        <is>
          <t>1 Shot (30ml)</t>
        </is>
      </c>
      <c r="G114" s="10" t="n">
        <v>2500</v>
      </c>
      <c r="H114" s="10" t="n">
        <v>5000</v>
      </c>
      <c r="I114" s="10">
        <f>H114-G114</f>
        <v/>
      </c>
      <c r="J114" s="11">
        <f>I114/H114</f>
        <v/>
      </c>
    </row>
    <row r="115" ht="22" customHeight="1">
      <c r="A115" s="4" t="inlineStr">
        <is>
          <t>TOP-08</t>
        </is>
      </c>
      <c r="B115" s="4" t="inlineStr">
        <is>
          <t>Add-on</t>
        </is>
      </c>
      <c r="C115" s="5" t="inlineStr">
        <is>
          <t>Topping Minuman</t>
        </is>
      </c>
      <c r="D115" s="5" t="inlineStr">
        <is>
          <t>Substitusi Susu Oatmilk</t>
        </is>
      </c>
      <c r="E115" s="5" t="inlineStr">
        <is>
          <t>Ganti susu sapi regular ke susu oat plant-based</t>
        </is>
      </c>
      <c r="F115" s="4" t="inlineStr">
        <is>
          <t>Porsi 150ml</t>
        </is>
      </c>
      <c r="G115" s="6" t="n">
        <v>4500</v>
      </c>
      <c r="H115" s="6" t="n">
        <v>8000</v>
      </c>
      <c r="I115" s="6">
        <f>H115-G115</f>
        <v/>
      </c>
      <c r="J115" s="7">
        <f>I115/H115</f>
        <v/>
      </c>
    </row>
    <row r="116" ht="22" customHeight="1">
      <c r="A116" s="8" t="inlineStr">
        <is>
          <t>TOP-09</t>
        </is>
      </c>
      <c r="B116" s="8" t="inlineStr">
        <is>
          <t>Add-on</t>
        </is>
      </c>
      <c r="C116" s="9" t="inlineStr">
        <is>
          <t>Topping Minuman</t>
        </is>
      </c>
      <c r="D116" s="9" t="inlineStr">
        <is>
          <t>Substitusi Susu Almond Milk</t>
        </is>
      </c>
      <c r="E116" s="9" t="inlineStr">
        <is>
          <t>Ganti susu sapi ke susu kacang almond bebas laktosa</t>
        </is>
      </c>
      <c r="F116" s="8" t="inlineStr">
        <is>
          <t>Porsi 150ml</t>
        </is>
      </c>
      <c r="G116" s="10" t="n">
        <v>5000</v>
      </c>
      <c r="H116" s="10" t="n">
        <v>9000</v>
      </c>
      <c r="I116" s="10">
        <f>H116-G116</f>
        <v/>
      </c>
      <c r="J116" s="11">
        <f>I116/H116</f>
        <v/>
      </c>
    </row>
    <row r="117" ht="22" customHeight="1">
      <c r="A117" s="4" t="inlineStr">
        <is>
          <t>TOP-10</t>
        </is>
      </c>
      <c r="B117" s="4" t="inlineStr">
        <is>
          <t>Add-on</t>
        </is>
      </c>
      <c r="C117" s="5" t="inlineStr">
        <is>
          <t>Topping Minuman</t>
        </is>
      </c>
      <c r="D117" s="5" t="inlineStr">
        <is>
          <t>Syrup Flavour Pump (Vanilla/Caramel)</t>
        </is>
      </c>
      <c r="E117" s="5" t="inlineStr">
        <is>
          <t>Tambahan ekstra sirup rasa impor 1 pump</t>
        </is>
      </c>
      <c r="F117" s="4" t="inlineStr">
        <is>
          <t>1 Pump (10ml)</t>
        </is>
      </c>
      <c r="G117" s="6" t="n">
        <v>1500</v>
      </c>
      <c r="H117" s="6" t="n">
        <v>4000</v>
      </c>
      <c r="I117" s="6">
        <f>H117-G117</f>
        <v/>
      </c>
      <c r="J117" s="7">
        <f>I117/H117</f>
        <v/>
      </c>
    </row>
    <row r="118" ht="25" customHeight="1">
      <c r="A118" s="12" t="inlineStr">
        <is>
          <t>RATA-RATA KESELURUHAN (TOTAL 81 PRODUK)</t>
        </is>
      </c>
      <c r="B118" s="13" t="n"/>
      <c r="C118" s="13" t="n"/>
      <c r="D118" s="13" t="n"/>
      <c r="E118" s="13" t="n"/>
      <c r="F118" s="13" t="n"/>
      <c r="G118" s="14">
        <f>AVERAGE(G5:G117)</f>
        <v/>
      </c>
      <c r="H118" s="14">
        <f>AVERAGE(H5:H117)</f>
        <v/>
      </c>
      <c r="I118" s="14">
        <f>AVERAGE(I5:I117)</f>
        <v/>
      </c>
      <c r="J118" s="15">
        <f>AVERAGE(J5:J117)</f>
        <v/>
      </c>
    </row>
  </sheetData>
  <mergeCells count="3">
    <mergeCell ref="A1:J1"/>
    <mergeCell ref="A118:F118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2026-10-11T08:01:58Z</dcterms:created>
  <dcterms:modified xmlns:dcterms="http://purl.org/dc/terms/" xmlns:xsi="http://www.w3.org/2001/XMLSchema-instance" xsi:type="dcterms:W3CDTF">2026-10-11T08:01:58Z</dcterms:modified>
</cp:coreProperties>
</file>